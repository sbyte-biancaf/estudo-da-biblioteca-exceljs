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" state="visible" r:id="rId4"/>
    <sheet sheetId="2" name="Lucas Moraes" state="visible" r:id="rId5"/>
    <sheet sheetId="3" name="Bianca Franzon" state="visible" r:id="rId6"/>
    <sheet sheetId="4" name="João Teste 3" state="visible" r:id="rId7"/>
  </sheets>
  <calcPr calcId="171027"/>
</workbook>
</file>

<file path=xl/sharedStrings.xml><?xml version="1.0" encoding="utf-8"?>
<sst xmlns="http://schemas.openxmlformats.org/spreadsheetml/2006/main" count="288" uniqueCount="72">
  <si>
    <t>CONSOLIDADO — SINOSBYTE</t>
  </si>
  <si>
    <t>Preencha o Mês e o Ano de referência abaixo — todas as abas se ajustam sozinhas.</t>
  </si>
  <si>
    <t>Mês de referência (1 a 12):</t>
  </si>
  <si>
    <t>08</t>
  </si>
  <si>
    <t/>
  </si>
  <si>
    <t>Ano de referência</t>
  </si>
  <si>
    <t>Mês:</t>
  </si>
  <si>
    <t>Agosto</t>
  </si>
  <si>
    <t>Revise a coluna VALOR HORA (em azul) se houve reajuste. As colunas TOTAL DE HORAS e TOTAL R$ MENSAL são calculadas automaticamente.</t>
  </si>
  <si>
    <t>COLABORADOR</t>
  </si>
  <si>
    <t>CARGO/FUNÇÃO</t>
  </si>
  <si>
    <t>SENIORIDADE</t>
  </si>
  <si>
    <t>FORNECEDOR</t>
  </si>
  <si>
    <t>SQUAD</t>
  </si>
  <si>
    <t>RESPONSÁVEL IMEDIATO</t>
  </si>
  <si>
    <t>% ALOCAÇÃO</t>
  </si>
  <si>
    <t>VALOR HORA</t>
  </si>
  <si>
    <t>TOTAL DE HORAS</t>
  </si>
  <si>
    <t>TOTAL R$ MENSAL</t>
  </si>
  <si>
    <t>MÊS</t>
  </si>
  <si>
    <t>Lucas Moraes</t>
  </si>
  <si>
    <t>Desenvolvedor</t>
  </si>
  <si>
    <t>SENIOR</t>
  </si>
  <si>
    <t>SINOSBYTE</t>
  </si>
  <si>
    <t>SUSTENTAÇÃO</t>
  </si>
  <si>
    <t>Luciano Muller</t>
  </si>
  <si>
    <t>Bianca Franzon</t>
  </si>
  <si>
    <t>Desenvolvedora</t>
  </si>
  <si>
    <t>JUNIOR</t>
  </si>
  <si>
    <t>João Teste 3</t>
  </si>
  <si>
    <t>TOTAL GERAL</t>
  </si>
  <si>
    <t>REGISTRO DE PONTO — Lucas Moraes — SINOSBYTE — Agosto/2026</t>
  </si>
  <si>
    <t>Preencha apenas as células amarelas. O Total de Horas e o Total do Mês são calculados automaticamente</t>
  </si>
  <si>
    <t>Colaborador:</t>
  </si>
  <si>
    <t>Cargo:</t>
  </si>
  <si>
    <t>Empresa:</t>
  </si>
  <si>
    <t>Squad:</t>
  </si>
  <si>
    <t>Valor Hora (R$):</t>
  </si>
  <si>
    <t>Mês/Ano:</t>
  </si>
  <si>
    <t>Agosto/2026</t>
  </si>
  <si>
    <t>Data</t>
  </si>
  <si>
    <t>Dia da Semana</t>
  </si>
  <si>
    <t>Entrada</t>
  </si>
  <si>
    <t>Saída Almoço</t>
  </si>
  <si>
    <t>Retorno Almoço</t>
  </si>
  <si>
    <t>Saída</t>
  </si>
  <si>
    <t>Total Horas</t>
  </si>
  <si>
    <t>Observações</t>
  </si>
  <si>
    <t>1/6/2026</t>
  </si>
  <si>
    <t>Segunda-feira</t>
  </si>
  <si>
    <t>09:00</t>
  </si>
  <si>
    <t>12:00</t>
  </si>
  <si>
    <t>13:00</t>
  </si>
  <si>
    <t>18:00</t>
  </si>
  <si>
    <t>2/6/2026</t>
  </si>
  <si>
    <t>Terça-feira</t>
  </si>
  <si>
    <t>09:30</t>
  </si>
  <si>
    <t>18:30</t>
  </si>
  <si>
    <t>3/6/2026</t>
  </si>
  <si>
    <t>Quarta-feira</t>
  </si>
  <si>
    <t>07:45</t>
  </si>
  <si>
    <t>15:05</t>
  </si>
  <si>
    <t>4/6/2026</t>
  </si>
  <si>
    <t>Quinta-feira</t>
  </si>
  <si>
    <t>5/6/2026</t>
  </si>
  <si>
    <t>Sexta-feira</t>
  </si>
  <si>
    <t>6/6/2026</t>
  </si>
  <si>
    <t>Sábado</t>
  </si>
  <si>
    <t>TOTAL HORAS DO MÊS</t>
  </si>
  <si>
    <t>TOTAL R$ MENSAL (estimado)</t>
  </si>
  <si>
    <t>REGISTRO DE PONTO — Bianca Franzon — SINOSBYTE — Agosto/2026</t>
  </si>
  <si>
    <t>REGISTRO DE PONTO — João Teste 3 — SINOSBYTE — Agosto/2026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</si>
</sst>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 &quot;#,##0.00"/>
  </numFmts>
  <fonts count="4" x14ac:knownFonts="1">
    <font>
      <color theme="1"/>
      <family val="2"/>
      <scheme val="minor"/>
      <sz val="11"/>
      <name val="Calibri"/>
    </font>
    <font>
      <b/>
      <color rgb="1F4E78"/>
      <sz val="16"/>
    </font>
    <font>
      <b/>
    </font>
    <font>
      <b/>
      <color rgb="FFFFFF"/>
    </font>
  </fonts>
  <fills count="3">
    <fill>
      <patternFill patternType="none"/>
    </fill>
    <fill>
      <patternFill patternType="gray125"/>
    </fill>
    <fill>
      <patternFill patternType="solid">
        <fgColor rgb="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164" fontId="0" fillId="0" borderId="0" xfId="0" applyNumberFormat="1"/>
    <xf numFmtId="2" fontId="0" fillId="0" borderId="0" xfId="0" applyNumberFormat="1"/>
    <xf numFmtId="164" fontId="1" fillId="0" borderId="0" xfId="0" applyNumberFormat="1" applyFont="1"/>
    <xf numFmtId="2" fontId="1" fillId="0" borderId="0" xfId="0" applyNumberFormat="1" applyFont="1"/>
    <xf numFmtId="164" fontId="3" fillId="2" borderId="0" xfId="0" applyNumberFormat="1" applyFont="1" applyFill="1"/>
    <xf numFmtId="2" fontId="3" fillId="2" borderId="0" xfId="0" applyNumberFormat="1" applyFont="1" applyFill="1"/>
    <xf numFmtId="164" fontId="2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FormatPr defaultRowHeight="15" outlineLevelRow="0" outlineLevelCol="0" x14ac:dyDescent="55"/>
  <cols>
    <col min="1" max="1" width="30" customWidth="1"/>
    <col min="2" max="2" width="20" customWidth="1"/>
    <col min="3" max="3" width="15" customWidth="1"/>
    <col min="4" max="10" width="20" customWidth="1"/>
    <col min="11" max="11" width="1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4" spans="1:8" s="2" customFormat="1" x14ac:dyDescent="0.25">
      <c r="A4" s="2" t="s">
        <v>2</v>
      </c>
      <c r="B4" s="2" t="s">
        <v>3</v>
      </c>
      <c r="C4" s="2" t="s">
        <v>4</v>
      </c>
      <c r="D4" s="2" t="s">
        <v>5</v>
      </c>
      <c r="E4" s="2">
        <v>2026</v>
      </c>
      <c r="F4" s="2" t="s">
        <v>4</v>
      </c>
      <c r="G4" s="2" t="s">
        <v>6</v>
      </c>
      <c r="H4" s="2" t="s">
        <v>7</v>
      </c>
    </row>
    <row r="6" spans="1:1" x14ac:dyDescent="0.25">
      <c r="A6" t="s">
        <v>8</v>
      </c>
    </row>
    <row r="8" spans="1:11" s="3" customFormat="1" x14ac:dyDescent="0.25">
      <c r="A8" s="3" t="s">
        <v>9</v>
      </c>
      <c r="B8" s="3" t="s">
        <v>10</v>
      </c>
      <c r="C8" s="3" t="s">
        <v>11</v>
      </c>
      <c r="D8" s="3" t="s">
        <v>12</v>
      </c>
      <c r="E8" s="3" t="s">
        <v>13</v>
      </c>
      <c r="F8" s="3" t="s">
        <v>14</v>
      </c>
      <c r="G8" s="3" t="s">
        <v>15</v>
      </c>
      <c r="H8" s="3" t="s">
        <v>16</v>
      </c>
      <c r="I8" s="3" t="s">
        <v>17</v>
      </c>
      <c r="J8" s="3" t="s">
        <v>18</v>
      </c>
      <c r="K8" s="3" t="s">
        <v>19</v>
      </c>
    </row>
    <row r="9" spans="1:11" x14ac:dyDescent="0.25">
      <c r="A9" t="s">
        <v>20</v>
      </c>
      <c r="B9" t="s">
        <v>21</v>
      </c>
      <c r="C9" t="s">
        <v>22</v>
      </c>
      <c r="D9" t="s">
        <v>23</v>
      </c>
      <c r="E9" t="s">
        <v>24</v>
      </c>
      <c r="F9" t="s">
        <v>25</v>
      </c>
      <c r="G9">
        <v>1</v>
      </c>
      <c r="H9">
        <v>130</v>
      </c>
      <c r="I9">
        <f>='Lucas Moraes'!H40</f>
      </c>
      <c r="J9">
        <f>=H9*I9</f>
      </c>
      <c r="K9" t="s">
        <v>7</v>
      </c>
    </row>
    <row r="10" spans="1:11" x14ac:dyDescent="0.25">
      <c r="A10" t="s">
        <v>26</v>
      </c>
      <c r="B10" t="s">
        <v>27</v>
      </c>
      <c r="C10" t="s">
        <v>28</v>
      </c>
      <c r="D10" t="s">
        <v>23</v>
      </c>
      <c r="E10" t="s">
        <v>24</v>
      </c>
      <c r="F10" t="s">
        <v>25</v>
      </c>
      <c r="G10">
        <v>1</v>
      </c>
      <c r="H10">
        <v>130</v>
      </c>
      <c r="I10">
        <f>='Bianca Franzon'!H40</f>
      </c>
      <c r="J10">
        <f>=H10*I10</f>
      </c>
      <c r="K10" t="s">
        <v>7</v>
      </c>
    </row>
    <row r="11" spans="1:11" x14ac:dyDescent="0.25">
      <c r="A11" t="s">
        <v>29</v>
      </c>
      <c r="B11" t="s">
        <v>21</v>
      </c>
      <c r="C11" t="s">
        <v>22</v>
      </c>
      <c r="D11" t="s">
        <v>23</v>
      </c>
      <c r="E11" t="s">
        <v>24</v>
      </c>
      <c r="F11" t="s">
        <v>25</v>
      </c>
      <c r="G11">
        <v>1</v>
      </c>
      <c r="H11">
        <v>130</v>
      </c>
      <c r="I11">
        <f>='João Teste 3'!H40</f>
      </c>
      <c r="J11">
        <f>=H11*I11</f>
      </c>
      <c r="K11" t="s">
        <v>7</v>
      </c>
    </row>
    <row r="12" spans="1:10" x14ac:dyDescent="0.25">
      <c r="A12" t="s">
        <v>4</v>
      </c>
      <c r="B12" t="s">
        <v>4</v>
      </c>
      <c r="C12" t="s">
        <v>4</v>
      </c>
      <c r="D12" t="s">
        <v>4</v>
      </c>
      <c r="E12" t="s">
        <v>4</v>
      </c>
      <c r="F12" t="s">
        <v>4</v>
      </c>
      <c r="G12" t="s">
        <v>4</v>
      </c>
      <c r="H12" t="s">
        <v>30</v>
      </c>
      <c r="I12" t="s">
        <v>4</v>
      </c>
      <c r="J12">
        <f>=SUM(J9:J11)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4" width="20" customWidth="1"/>
    <col min="5" max="5" width="20" style="4" customWidth="1"/>
    <col min="6" max="6" width="20" customWidth="1"/>
    <col min="7" max="7" width="20" style="5" customWidth="1"/>
    <col min="8" max="8" width="20" customWidth="1"/>
  </cols>
  <sheetData>
    <row r="1" spans="1:7" s="1" customFormat="1" x14ac:dyDescent="0.25">
      <c r="A1" s="1" t="s">
        <v>31</v>
      </c>
      <c r="E1" s="6"/>
      <c r="G1" s="7"/>
    </row>
    <row r="2" spans="1:7" x14ac:dyDescent="0.25">
      <c r="A2" t="s">
        <v>32</v>
      </c>
      <c r="E2" s="4"/>
      <c r="G2" s="5"/>
    </row>
    <row r="4" spans="1:8" x14ac:dyDescent="0.25">
      <c r="A4" t="s">
        <v>33</v>
      </c>
      <c r="B4" t="s">
        <v>20</v>
      </c>
      <c r="C4" t="s">
        <v>4</v>
      </c>
      <c r="D4" t="s">
        <v>34</v>
      </c>
      <c r="E4" s="4" t="s">
        <v>21</v>
      </c>
      <c r="F4" t="s">
        <v>4</v>
      </c>
      <c r="G4" s="5" t="s">
        <v>35</v>
      </c>
      <c r="H4" t="s">
        <v>23</v>
      </c>
    </row>
    <row r="5" spans="1:8" x14ac:dyDescent="0.25">
      <c r="A5" t="s">
        <v>36</v>
      </c>
      <c r="B5" t="s">
        <v>24</v>
      </c>
      <c r="C5" t="s">
        <v>4</v>
      </c>
      <c r="D5" t="s">
        <v>37</v>
      </c>
      <c r="E5" s="4">
        <v>130</v>
      </c>
      <c r="F5" t="s">
        <v>4</v>
      </c>
      <c r="G5" s="5" t="s">
        <v>38</v>
      </c>
      <c r="H5" t="s">
        <v>39</v>
      </c>
    </row>
    <row r="7" spans="1:8" s="3" customFormat="1" x14ac:dyDescent="0.25">
      <c r="A7" s="3" t="s">
        <v>40</v>
      </c>
      <c r="B7" s="3" t="s">
        <v>41</v>
      </c>
      <c r="C7" s="3" t="s">
        <v>42</v>
      </c>
      <c r="D7" s="3" t="s">
        <v>43</v>
      </c>
      <c r="E7" s="8" t="s">
        <v>44</v>
      </c>
      <c r="F7" s="3" t="s">
        <v>45</v>
      </c>
      <c r="G7" s="9" t="s">
        <v>46</v>
      </c>
      <c r="H7" s="3" t="s">
        <v>47</v>
      </c>
    </row>
    <row r="8" spans="1:8" x14ac:dyDescent="0.25">
      <c r="A8" t="s">
        <v>48</v>
      </c>
      <c r="B8" t="s">
        <v>49</v>
      </c>
      <c r="C8" t="s">
        <v>50</v>
      </c>
      <c r="D8" t="s">
        <v>51</v>
      </c>
      <c r="E8" s="4" t="s">
        <v>52</v>
      </c>
      <c r="F8" t="s">
        <v>53</v>
      </c>
      <c r="G8" s="5">
        <f>=IF(OR(C9="",D9="",E9="",F9=""),0,(D9-C9)+(F9-E9))*24</f>
      </c>
      <c r="H8" t="s">
        <v>4</v>
      </c>
    </row>
    <row r="9" spans="1:8" x14ac:dyDescent="0.25">
      <c r="A9" t="s">
        <v>54</v>
      </c>
      <c r="B9" t="s">
        <v>55</v>
      </c>
      <c r="C9" t="s">
        <v>56</v>
      </c>
      <c r="D9" t="s">
        <v>51</v>
      </c>
      <c r="E9" s="4" t="s">
        <v>52</v>
      </c>
      <c r="F9" t="s">
        <v>57</v>
      </c>
      <c r="G9" s="5">
        <f>=IF(OR(C10="",D10="",E10="",F10=""),0,(D10-C10)+(F10-E10))*24</f>
      </c>
      <c r="H9" t="s">
        <v>4</v>
      </c>
    </row>
    <row r="10" spans="1:8" x14ac:dyDescent="0.25">
      <c r="A10" t="s">
        <v>58</v>
      </c>
      <c r="B10" t="s">
        <v>59</v>
      </c>
      <c r="C10" t="s">
        <v>60</v>
      </c>
      <c r="D10" t="s">
        <v>51</v>
      </c>
      <c r="E10" s="4" t="s">
        <v>52</v>
      </c>
      <c r="F10" t="s">
        <v>61</v>
      </c>
      <c r="G10" s="5">
        <f>=IF(OR(C11="",D11="",E11="",F11=""),0,(D11-C11)+(F11-E11))*24</f>
      </c>
      <c r="H10" t="s">
        <v>4</v>
      </c>
    </row>
    <row r="11" spans="1:8" x14ac:dyDescent="0.25">
      <c r="A11" t="s">
        <v>62</v>
      </c>
      <c r="B11" t="s">
        <v>63</v>
      </c>
      <c r="C11" t="s">
        <v>50</v>
      </c>
      <c r="D11" t="s">
        <v>51</v>
      </c>
      <c r="E11" s="4" t="s">
        <v>52</v>
      </c>
      <c r="F11" t="s">
        <v>53</v>
      </c>
      <c r="G11" s="5">
        <f>=IF(OR(C12="",D12="",E12="",F12=""),0,(D12-C12)+(F12-E12))*24</f>
      </c>
      <c r="H11" t="s">
        <v>4</v>
      </c>
    </row>
    <row r="12" spans="1:8" x14ac:dyDescent="0.25">
      <c r="A12" t="s">
        <v>64</v>
      </c>
      <c r="B12" t="s">
        <v>65</v>
      </c>
      <c r="C12" t="s">
        <v>56</v>
      </c>
      <c r="D12" t="s">
        <v>51</v>
      </c>
      <c r="E12" s="4" t="s">
        <v>52</v>
      </c>
      <c r="F12" t="s">
        <v>57</v>
      </c>
      <c r="G12" s="5">
        <f>=IF(OR(C13="",D13="",E13="",F13=""),0,(D13-C13)+(F13-E13))*24</f>
      </c>
      <c r="H12" t="s">
        <v>4</v>
      </c>
    </row>
    <row r="13" spans="1:8" x14ac:dyDescent="0.25">
      <c r="A13" t="s">
        <v>66</v>
      </c>
      <c r="B13" t="s">
        <v>67</v>
      </c>
      <c r="C13" t="s">
        <v>60</v>
      </c>
      <c r="D13" t="s">
        <v>51</v>
      </c>
      <c r="E13" s="4" t="s">
        <v>52</v>
      </c>
      <c r="F13" t="s">
        <v>61</v>
      </c>
      <c r="G13" s="5">
        <f>=IF(OR(C14="",D14="",E14="",F14=""),0,(D14-C14)+(F14-E14))*24</f>
      </c>
      <c r="H13" t="s">
        <v>4</v>
      </c>
    </row>
    <row r="15" spans="1:7" s="2" customFormat="1" x14ac:dyDescent="0.25">
      <c r="A15" s="2" t="s">
        <v>4</v>
      </c>
      <c r="B15" s="2" t="s">
        <v>4</v>
      </c>
      <c r="C15" s="2" t="s">
        <v>4</v>
      </c>
      <c r="D15" s="2" t="s">
        <v>4</v>
      </c>
      <c r="E15" s="10" t="s">
        <v>4</v>
      </c>
      <c r="F15" s="2" t="s">
        <v>68</v>
      </c>
      <c r="G15" s="11">
        <f>=SUM(G9:G38)</f>
      </c>
    </row>
    <row r="16" spans="1:7" s="2" customFormat="1" x14ac:dyDescent="0.25">
      <c r="A16" s="2" t="s">
        <v>4</v>
      </c>
      <c r="B16" s="2" t="s">
        <v>4</v>
      </c>
      <c r="C16" s="2" t="s">
        <v>4</v>
      </c>
      <c r="D16" s="2" t="s">
        <v>4</v>
      </c>
      <c r="E16" s="10" t="s">
        <v>4</v>
      </c>
      <c r="F16" s="2" t="s">
        <v>69</v>
      </c>
      <c r="G16" s="11">
        <f>=G40*E5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4" width="20" customWidth="1"/>
    <col min="5" max="5" width="20" style="4" customWidth="1"/>
    <col min="6" max="6" width="20" customWidth="1"/>
    <col min="7" max="7" width="20" style="5" customWidth="1"/>
    <col min="8" max="8" width="20" customWidth="1"/>
  </cols>
  <sheetData>
    <row r="1" spans="1:7" s="1" customFormat="1" x14ac:dyDescent="0.25">
      <c r="A1" s="1" t="s">
        <v>70</v>
      </c>
      <c r="E1" s="6"/>
      <c r="G1" s="7"/>
    </row>
    <row r="2" spans="1:7" x14ac:dyDescent="0.25">
      <c r="A2" t="s">
        <v>32</v>
      </c>
      <c r="E2" s="4"/>
      <c r="G2" s="5"/>
    </row>
    <row r="4" spans="1:8" x14ac:dyDescent="0.25">
      <c r="A4" t="s">
        <v>33</v>
      </c>
      <c r="B4" t="s">
        <v>26</v>
      </c>
      <c r="C4" t="s">
        <v>4</v>
      </c>
      <c r="D4" t="s">
        <v>34</v>
      </c>
      <c r="E4" s="4" t="s">
        <v>27</v>
      </c>
      <c r="F4" t="s">
        <v>4</v>
      </c>
      <c r="G4" s="5" t="s">
        <v>35</v>
      </c>
      <c r="H4" t="s">
        <v>23</v>
      </c>
    </row>
    <row r="5" spans="1:8" x14ac:dyDescent="0.25">
      <c r="A5" t="s">
        <v>36</v>
      </c>
      <c r="B5" t="s">
        <v>24</v>
      </c>
      <c r="C5" t="s">
        <v>4</v>
      </c>
      <c r="D5" t="s">
        <v>37</v>
      </c>
      <c r="E5" s="4">
        <v>130</v>
      </c>
      <c r="F5" t="s">
        <v>4</v>
      </c>
      <c r="G5" s="5" t="s">
        <v>38</v>
      </c>
      <c r="H5" t="s">
        <v>39</v>
      </c>
    </row>
    <row r="7" spans="1:8" s="3" customFormat="1" x14ac:dyDescent="0.25">
      <c r="A7" s="3" t="s">
        <v>40</v>
      </c>
      <c r="B7" s="3" t="s">
        <v>41</v>
      </c>
      <c r="C7" s="3" t="s">
        <v>42</v>
      </c>
      <c r="D7" s="3" t="s">
        <v>43</v>
      </c>
      <c r="E7" s="8" t="s">
        <v>44</v>
      </c>
      <c r="F7" s="3" t="s">
        <v>45</v>
      </c>
      <c r="G7" s="9" t="s">
        <v>46</v>
      </c>
      <c r="H7" s="3" t="s">
        <v>47</v>
      </c>
    </row>
    <row r="8" spans="1:8" x14ac:dyDescent="0.25">
      <c r="A8" t="s">
        <v>48</v>
      </c>
      <c r="B8" t="s">
        <v>49</v>
      </c>
      <c r="C8" t="s">
        <v>50</v>
      </c>
      <c r="D8" t="s">
        <v>51</v>
      </c>
      <c r="E8" s="4" t="s">
        <v>52</v>
      </c>
      <c r="F8" t="s">
        <v>53</v>
      </c>
      <c r="G8" s="5">
        <f>=IF(OR(C9="",D9="",E9="",F9=""),0,(D9-C9)+(F9-E9))*24</f>
      </c>
      <c r="H8" t="s">
        <v>4</v>
      </c>
    </row>
    <row r="9" spans="1:8" x14ac:dyDescent="0.25">
      <c r="A9" t="s">
        <v>54</v>
      </c>
      <c r="B9" t="s">
        <v>55</v>
      </c>
      <c r="C9" t="s">
        <v>56</v>
      </c>
      <c r="D9" t="s">
        <v>51</v>
      </c>
      <c r="E9" s="4" t="s">
        <v>52</v>
      </c>
      <c r="F9" t="s">
        <v>57</v>
      </c>
      <c r="G9" s="5">
        <f>=IF(OR(C10="",D10="",E10="",F10=""),0,(D10-C10)+(F10-E10))*24</f>
      </c>
      <c r="H9" t="s">
        <v>4</v>
      </c>
    </row>
    <row r="10" spans="1:8" x14ac:dyDescent="0.25">
      <c r="A10" t="s">
        <v>58</v>
      </c>
      <c r="B10" t="s">
        <v>59</v>
      </c>
      <c r="C10" t="s">
        <v>60</v>
      </c>
      <c r="D10" t="s">
        <v>51</v>
      </c>
      <c r="E10" s="4" t="s">
        <v>52</v>
      </c>
      <c r="F10" t="s">
        <v>61</v>
      </c>
      <c r="G10" s="5">
        <f>=IF(OR(C11="",D11="",E11="",F11=""),0,(D11-C11)+(F11-E11))*24</f>
      </c>
      <c r="H10" t="s">
        <v>4</v>
      </c>
    </row>
    <row r="11" spans="1:8" x14ac:dyDescent="0.25">
      <c r="A11" t="s">
        <v>62</v>
      </c>
      <c r="B11" t="s">
        <v>63</v>
      </c>
      <c r="C11" t="s">
        <v>50</v>
      </c>
      <c r="D11" t="s">
        <v>51</v>
      </c>
      <c r="E11" s="4" t="s">
        <v>52</v>
      </c>
      <c r="F11" t="s">
        <v>53</v>
      </c>
      <c r="G11" s="5">
        <f>=IF(OR(C12="",D12="",E12="",F12=""),0,(D12-C12)+(F12-E12))*24</f>
      </c>
      <c r="H11" t="s">
        <v>4</v>
      </c>
    </row>
    <row r="12" spans="1:8" x14ac:dyDescent="0.25">
      <c r="A12" t="s">
        <v>64</v>
      </c>
      <c r="B12" t="s">
        <v>65</v>
      </c>
      <c r="C12" t="s">
        <v>56</v>
      </c>
      <c r="D12" t="s">
        <v>51</v>
      </c>
      <c r="E12" s="4" t="s">
        <v>52</v>
      </c>
      <c r="F12" t="s">
        <v>57</v>
      </c>
      <c r="G12" s="5">
        <f>=IF(OR(C13="",D13="",E13="",F13=""),0,(D13-C13)+(F13-E13))*24</f>
      </c>
      <c r="H12" t="s">
        <v>4</v>
      </c>
    </row>
    <row r="13" spans="1:8" x14ac:dyDescent="0.25">
      <c r="A13" t="s">
        <v>66</v>
      </c>
      <c r="B13" t="s">
        <v>67</v>
      </c>
      <c r="C13" t="s">
        <v>60</v>
      </c>
      <c r="D13" t="s">
        <v>51</v>
      </c>
      <c r="E13" s="4" t="s">
        <v>52</v>
      </c>
      <c r="F13" t="s">
        <v>61</v>
      </c>
      <c r="G13" s="5">
        <f>=IF(OR(C14="",D14="",E14="",F14=""),0,(D14-C14)+(F14-E14))*24</f>
      </c>
      <c r="H13" t="s">
        <v>4</v>
      </c>
    </row>
    <row r="15" spans="1:7" s="2" customFormat="1" x14ac:dyDescent="0.25">
      <c r="A15" s="2" t="s">
        <v>4</v>
      </c>
      <c r="B15" s="2" t="s">
        <v>4</v>
      </c>
      <c r="C15" s="2" t="s">
        <v>4</v>
      </c>
      <c r="D15" s="2" t="s">
        <v>4</v>
      </c>
      <c r="E15" s="10" t="s">
        <v>4</v>
      </c>
      <c r="F15" s="2" t="s">
        <v>68</v>
      </c>
      <c r="G15" s="11">
        <f>=SUM(G9:G38)</f>
      </c>
    </row>
    <row r="16" spans="1:7" s="2" customFormat="1" x14ac:dyDescent="0.25">
      <c r="A16" s="2" t="s">
        <v>4</v>
      </c>
      <c r="B16" s="2" t="s">
        <v>4</v>
      </c>
      <c r="C16" s="2" t="s">
        <v>4</v>
      </c>
      <c r="D16" s="2" t="s">
        <v>4</v>
      </c>
      <c r="E16" s="10" t="s">
        <v>4</v>
      </c>
      <c r="F16" s="2" t="s">
        <v>69</v>
      </c>
      <c r="G16" s="11">
        <f>=G40*E5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4" width="20" customWidth="1"/>
    <col min="5" max="5" width="20" style="4" customWidth="1"/>
    <col min="6" max="6" width="20" customWidth="1"/>
    <col min="7" max="7" width="20" style="5" customWidth="1"/>
    <col min="8" max="8" width="20" customWidth="1"/>
  </cols>
  <sheetData>
    <row r="1" spans="1:7" s="1" customFormat="1" x14ac:dyDescent="0.25">
      <c r="A1" s="1" t="s">
        <v>71</v>
      </c>
      <c r="E1" s="6"/>
      <c r="G1" s="7"/>
    </row>
    <row r="2" spans="1:7" x14ac:dyDescent="0.25">
      <c r="A2" t="s">
        <v>32</v>
      </c>
      <c r="E2" s="4"/>
      <c r="G2" s="5"/>
    </row>
    <row r="4" spans="1:8" x14ac:dyDescent="0.25">
      <c r="A4" t="s">
        <v>33</v>
      </c>
      <c r="B4" t="s">
        <v>29</v>
      </c>
      <c r="C4" t="s">
        <v>4</v>
      </c>
      <c r="D4" t="s">
        <v>34</v>
      </c>
      <c r="E4" s="4" t="s">
        <v>21</v>
      </c>
      <c r="F4" t="s">
        <v>4</v>
      </c>
      <c r="G4" s="5" t="s">
        <v>35</v>
      </c>
      <c r="H4" t="s">
        <v>23</v>
      </c>
    </row>
    <row r="5" spans="1:8" x14ac:dyDescent="0.25">
      <c r="A5" t="s">
        <v>36</v>
      </c>
      <c r="B5" t="s">
        <v>24</v>
      </c>
      <c r="C5" t="s">
        <v>4</v>
      </c>
      <c r="D5" t="s">
        <v>37</v>
      </c>
      <c r="E5" s="4">
        <v>130</v>
      </c>
      <c r="F5" t="s">
        <v>4</v>
      </c>
      <c r="G5" s="5" t="s">
        <v>38</v>
      </c>
      <c r="H5" t="s">
        <v>39</v>
      </c>
    </row>
    <row r="7" spans="1:8" s="3" customFormat="1" x14ac:dyDescent="0.25">
      <c r="A7" s="3" t="s">
        <v>40</v>
      </c>
      <c r="B7" s="3" t="s">
        <v>41</v>
      </c>
      <c r="C7" s="3" t="s">
        <v>42</v>
      </c>
      <c r="D7" s="3" t="s">
        <v>43</v>
      </c>
      <c r="E7" s="8" t="s">
        <v>44</v>
      </c>
      <c r="F7" s="3" t="s">
        <v>45</v>
      </c>
      <c r="G7" s="9" t="s">
        <v>46</v>
      </c>
      <c r="H7" s="3" t="s">
        <v>47</v>
      </c>
    </row>
    <row r="8" spans="1:8" x14ac:dyDescent="0.25">
      <c r="A8" t="s">
        <v>48</v>
      </c>
      <c r="B8" t="s">
        <v>49</v>
      </c>
      <c r="C8" t="s">
        <v>50</v>
      </c>
      <c r="D8" t="s">
        <v>51</v>
      </c>
      <c r="E8" s="4" t="s">
        <v>52</v>
      </c>
      <c r="F8" t="s">
        <v>53</v>
      </c>
      <c r="G8" s="5">
        <f>=IF(OR(C9="",D9="",E9="",F9=""),0,(D9-C9)+(F9-E9))*24</f>
      </c>
      <c r="H8" t="s">
        <v>4</v>
      </c>
    </row>
    <row r="9" spans="1:8" x14ac:dyDescent="0.25">
      <c r="A9" t="s">
        <v>54</v>
      </c>
      <c r="B9" t="s">
        <v>55</v>
      </c>
      <c r="C9" t="s">
        <v>56</v>
      </c>
      <c r="D9" t="s">
        <v>51</v>
      </c>
      <c r="E9" s="4" t="s">
        <v>52</v>
      </c>
      <c r="F9" t="s">
        <v>57</v>
      </c>
      <c r="G9" s="5">
        <f>=IF(OR(C10="",D10="",E10="",F10=""),0,(D10-C10)+(F10-E10))*24</f>
      </c>
      <c r="H9" t="s">
        <v>4</v>
      </c>
    </row>
    <row r="10" spans="1:8" x14ac:dyDescent="0.25">
      <c r="A10" t="s">
        <v>58</v>
      </c>
      <c r="B10" t="s">
        <v>59</v>
      </c>
      <c r="C10" t="s">
        <v>60</v>
      </c>
      <c r="D10" t="s">
        <v>51</v>
      </c>
      <c r="E10" s="4" t="s">
        <v>52</v>
      </c>
      <c r="F10" t="s">
        <v>61</v>
      </c>
      <c r="G10" s="5">
        <f>=IF(OR(C11="",D11="",E11="",F11=""),0,(D11-C11)+(F11-E11))*24</f>
      </c>
      <c r="H10" t="s">
        <v>4</v>
      </c>
    </row>
    <row r="11" spans="1:8" x14ac:dyDescent="0.25">
      <c r="A11" t="s">
        <v>62</v>
      </c>
      <c r="B11" t="s">
        <v>63</v>
      </c>
      <c r="C11" t="s">
        <v>50</v>
      </c>
      <c r="D11" t="s">
        <v>51</v>
      </c>
      <c r="E11" s="4" t="s">
        <v>52</v>
      </c>
      <c r="F11" t="s">
        <v>53</v>
      </c>
      <c r="G11" s="5">
        <f>=IF(OR(C12="",D12="",E12="",F12=""),0,(D12-C12)+(F12-E12))*24</f>
      </c>
      <c r="H11" t="s">
        <v>4</v>
      </c>
    </row>
    <row r="12" spans="1:8" x14ac:dyDescent="0.25">
      <c r="A12" t="s">
        <v>64</v>
      </c>
      <c r="B12" t="s">
        <v>65</v>
      </c>
      <c r="C12" t="s">
        <v>56</v>
      </c>
      <c r="D12" t="s">
        <v>51</v>
      </c>
      <c r="E12" s="4" t="s">
        <v>52</v>
      </c>
      <c r="F12" t="s">
        <v>57</v>
      </c>
      <c r="G12" s="5">
        <f>=IF(OR(C13="",D13="",E13="",F13=""),0,(D13-C13)+(F13-E13))*24</f>
      </c>
      <c r="H12" t="s">
        <v>4</v>
      </c>
    </row>
    <row r="13" spans="1:8" x14ac:dyDescent="0.25">
      <c r="A13" t="s">
        <v>66</v>
      </c>
      <c r="B13" t="s">
        <v>67</v>
      </c>
      <c r="C13" t="s">
        <v>60</v>
      </c>
      <c r="D13" t="s">
        <v>51</v>
      </c>
      <c r="E13" s="4" t="s">
        <v>52</v>
      </c>
      <c r="F13" t="s">
        <v>61</v>
      </c>
      <c r="G13" s="5">
        <f>=IF(OR(C14="",D14="",E14="",F14=""),0,(D14-C14)+(F14-E14))*24</f>
      </c>
      <c r="H13" t="s">
        <v>4</v>
      </c>
    </row>
    <row r="15" spans="1:7" s="2" customFormat="1" x14ac:dyDescent="0.25">
      <c r="A15" s="2" t="s">
        <v>4</v>
      </c>
      <c r="B15" s="2" t="s">
        <v>4</v>
      </c>
      <c r="C15" s="2" t="s">
        <v>4</v>
      </c>
      <c r="D15" s="2" t="s">
        <v>4</v>
      </c>
      <c r="E15" s="10" t="s">
        <v>4</v>
      </c>
      <c r="F15" s="2" t="s">
        <v>68</v>
      </c>
      <c r="G15" s="11">
        <f>=SUM(G9:G38)</f>
      </c>
    </row>
    <row r="16" spans="1:7" s="2" customFormat="1" x14ac:dyDescent="0.25">
      <c r="A16" s="2" t="s">
        <v>4</v>
      </c>
      <c r="B16" s="2" t="s">
        <v>4</v>
      </c>
      <c r="C16" s="2" t="s">
        <v>4</v>
      </c>
      <c r="D16" s="2" t="s">
        <v>4</v>
      </c>
      <c r="E16" s="10" t="s">
        <v>4</v>
      </c>
      <c r="F16" s="2" t="s">
        <v>69</v>
      </c>
      <c r="G16" s="11">
        <f>=G40*E5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Consolidado</vt:lpstr>
      <vt:lpstr>Lucas Moraes</vt:lpstr>
      <vt:lpstr>Bianca Franzon</vt:lpstr>
      <vt:lpstr>João Teste 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2026-10-15T14:51:43Z</dcterms:created>
  <dcterms:modified xsi:type="dcterms:W3CDTF">2026-10-15T14:51:43Z</dcterms:modified>
</cp:coreProperties>
</file>