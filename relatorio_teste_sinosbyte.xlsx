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" state="visible" r:id="rId4"/>
    <sheet sheetId="3" name="Lucas Moraes" state="visible" r:id="rId5"/>
    <sheet sheetId="4" name="Bianca Franzon" state="visible" r:id="rId6"/>
    <sheet sheetId="5" name="João Teste 3" state="visible" r:id="rId7"/>
  </sheets>
  <calcPr calcId="171027"/>
</workbook>
</file>

<file path=xl/sharedStrings.xml><?xml version="1.0" encoding="utf-8"?>
<sst xmlns="http://schemas.openxmlformats.org/spreadsheetml/2006/main" count="129" uniqueCount="53">
  <si>
    <t>CONSOLIDADO — SINOSBYTE</t>
  </si>
  <si>
    <t>Preencha o Mês e o Ano de referência abaixo — todas as abas se ajustam sozinhas.</t>
  </si>
  <si>
    <t>Mês de referência (1 a 12):</t>
  </si>
  <si>
    <t>Ano de referência:</t>
  </si>
  <si>
    <t>Mês:</t>
  </si>
  <si>
    <t>Revise a coluna VALOR HORA (em azul) se houve reajuste. As colunas TOTAL DE HORAS e TOTAL R$ MENSAL são calculadas automaticamente a partir da aba de cada colaborador.</t>
  </si>
  <si>
    <t>COLABORADOR</t>
  </si>
  <si>
    <t>CARGO/FUNÇÃO</t>
  </si>
  <si>
    <t>SENIORIDADE</t>
  </si>
  <si>
    <t>NOME FORNECEDOR</t>
  </si>
  <si>
    <t>SQUAD</t>
  </si>
  <si>
    <t>RESPONSÁVEL IMEDIATO</t>
  </si>
  <si>
    <t>% ALOCAÇÃO</t>
  </si>
  <si>
    <t>VALOR HORA</t>
  </si>
  <si>
    <t>TOTAL DE HORAS</t>
  </si>
  <si>
    <t>TOTAL R$ MENSAL</t>
  </si>
  <si>
    <t>MÊS</t>
  </si>
  <si>
    <t>Lucas Moraes</t>
  </si>
  <si>
    <t>Desenvolvedor</t>
  </si>
  <si>
    <t>SENIOR</t>
  </si>
  <si>
    <t>SINOSBYTE</t>
  </si>
  <si>
    <t>SUSTENTAÇÃO</t>
  </si>
  <si>
    <t>Luciano Muller</t>
  </si>
  <si>
    <t>Bianca Franzon</t>
  </si>
  <si>
    <t>Desenvolvedora</t>
  </si>
  <si>
    <t>JUNIOR</t>
  </si>
  <si>
    <t>João Teste 3</t>
  </si>
  <si>
    <t>TOTAL GERAL</t>
  </si>
  <si>
    <t>Preencha apenas as células amarelas (Entrada, Saída Almoço, Retorno Almoço, Saída). O Total de Horas e o Total do Mês são calculados automaticamente. O mês/ano é definido na aba Consolidado.</t>
  </si>
  <si>
    <t>Colaborador:</t>
  </si>
  <si>
    <t>Cargo:</t>
  </si>
  <si>
    <t>Empresa:</t>
  </si>
  <si>
    <t>Squad:</t>
  </si>
  <si>
    <t>Valor Hora (R$):</t>
  </si>
  <si>
    <t>Mês/Ano:</t>
  </si>
  <si>
    <t>Data</t>
  </si>
  <si>
    <t>Dia da Semana</t>
  </si>
  <si>
    <t>Entrada</t>
  </si>
  <si>
    <t>Saída Almoço</t>
  </si>
  <si>
    <t>Retorno Almoço</t>
  </si>
  <si>
    <t>Saída</t>
  </si>
  <si>
    <t>Total Horas</t>
  </si>
  <si>
    <t>Observações</t>
  </si>
  <si>
    <t>09:30</t>
  </si>
  <si>
    <t>12:00</t>
  </si>
  <si>
    <t>13:00</t>
  </si>
  <si>
    <t>18:30</t>
  </si>
  <si>
    <t>Teste 2</t>
  </si>
  <si>
    <t>TOTAL HORAS DO MÊS</t>
  </si>
  <si>
    <t>TOTAL R$ MENSAL (estimado)</t>
  </si>
  <si>
    <t>07:45</t>
  </si>
  <si>
    <t>15:05</t>
  </si>
  <si>
    <t>Teste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</si>
</sst>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 &quot;#,##0.00"/>
  </numFmts>
  <fonts count="9" x14ac:knownFonts="1">
    <font>
      <color theme="1"/>
      <family val="2"/>
      <scheme val="minor"/>
      <sz val="11"/>
      <name val="Calibri"/>
    </font>
    <font>
      <b/>
      <color rgb="FF1F4E78"/>
      <sz val="14"/>
      <name val="Arial"/>
    </font>
    <font>
      <i/>
      <color rgb="FF595959"/>
      <sz val="9"/>
      <name val="Arial"/>
    </font>
    <font>
      <b/>
      <color theme="1"/>
      <sz val="10"/>
      <name val="Arial"/>
    </font>
    <font>
      <b/>
      <color rgb="FF0000FF"/>
      <sz val="11"/>
      <name val="Arial"/>
    </font>
    <font>
      <color theme="1"/>
      <sz val="10"/>
      <name val="Arial"/>
    </font>
    <font>
      <b/>
      <color rgb="FFFFFFFF"/>
      <sz val="10"/>
      <name val="Arial"/>
    </font>
    <font>
      <b/>
    </font>
    <font>
      <color theme="1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0" fontId="6" fillId="3" borderId="1" xfId="0" applyFont="1" applyFill="1" applyBorder="1" applyAlignment="1">
      <alignment horizontal="center" wrapText="1"/>
    </xf>
    <xf numFmtId="0" fontId="5" fillId="0" borderId="1" xfId="0" applyFont="1" applyBorder="1"/>
    <xf numFmtId="9" fontId="5" fillId="0" borderId="1" xfId="0" applyNumberFormat="1" applyFont="1" applyBorder="1"/>
    <xf numFmtId="164" fontId="4" fillId="2" borderId="1" xfId="0" applyNumberFormat="1" applyFont="1" applyFill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0" fontId="7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/>
    </xf>
    <xf numFmtId="14" fontId="5" fillId="0" borderId="1" xfId="0" applyNumberFormat="1" applyFont="1" applyBorder="1"/>
    <xf numFmtId="20" fontId="5" fillId="4" borderId="1" xfId="0" applyNumberFormat="1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2" fontId="3" fillId="5" borderId="1" xfId="0" applyNumberFormat="1" applyFont="1" applyFill="1" applyBorder="1"/>
    <xf numFmtId="0" fontId="5" fillId="0" borderId="0" xfId="0" applyFont="1" applyAlignment="1">
      <alignment horizontal="right"/>
    </xf>
    <xf numFmtId="164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 showGridLines="0" zoomScale="100" zoomScaleNormal="100">
      <pane ySplit="8" topLeftCell="A9" activePane="bottomLeft" state="frozen"/>
      <selection pane="bottomLeft" activeCell="B10" sqref="B10"/>
    </sheetView>
  </sheetViews>
  <sheetFormatPr defaultRowHeight="15" outlineLevelRow="0" outlineLevelCol="0" x14ac:dyDescent="0" defaultColWidth="14.43"/>
  <cols>
    <col min="1" max="1" width="30" customWidth="1"/>
    <col min="2" max="2" width="26" customWidth="1"/>
    <col min="3" max="4" width="14" customWidth="1"/>
    <col min="5" max="5" width="22" customWidth="1"/>
    <col min="6" max="6" width="26" customWidth="1"/>
    <col min="7" max="8" width="12" customWidth="1"/>
    <col min="9" max="9" width="14" customWidth="1"/>
    <col min="10" max="10" width="16" customWidth="1"/>
    <col min="11" max="11" width="12" customWidth="1"/>
  </cols>
  <sheetData>
    <row r="1" spans="1:11" x14ac:dyDescent="0.25">
      <c r="A1" s="1" t="s">
        <v>0</v>
      </c>
      <c r="B1"/>
      <c r="C1"/>
      <c r="D1"/>
      <c r="E1"/>
      <c r="F1"/>
      <c r="G1"/>
      <c r="H1"/>
      <c r="I1"/>
      <c r="J1"/>
      <c r="K1"/>
    </row>
    <row r="2" spans="1:11" x14ac:dyDescent="0.25">
      <c r="A2" s="2" t="s">
        <v>1</v>
      </c>
      <c r="B2"/>
      <c r="C2"/>
      <c r="D2"/>
      <c r="E2"/>
      <c r="F2"/>
      <c r="G2"/>
      <c r="H2"/>
      <c r="I2"/>
      <c r="J2"/>
      <c r="K2"/>
    </row>
    <row r="4" spans="1:8" x14ac:dyDescent="0.25">
      <c r="A4" s="3" t="s">
        <v>2</v>
      </c>
      <c r="B4" s="4">
        <v>5</v>
      </c>
      <c r="D4" s="3" t="s">
        <v>3</v>
      </c>
      <c r="E4" s="4">
        <v>2026</v>
      </c>
      <c r="G4" s="3" t="s">
        <v>4</v>
      </c>
      <c r="H4" s="5" t="str">
        <f>CHOOSE(B4,"JANEIRO","FEVEREIRO","MARÇO","ABRIL","MAIO","JUNHO","JULHO","AGOSTO","SETEMBRO","OUTUBRO","NOVEMBRO","DEZEMBRO")</f>
        <v>#NUM!</v>
      </c>
    </row>
    <row r="6" spans="1:11" x14ac:dyDescent="0.25">
      <c r="A6" s="2" t="s">
        <v>5</v>
      </c>
      <c r="B6"/>
      <c r="C6"/>
      <c r="D6"/>
      <c r="E6"/>
      <c r="F6"/>
      <c r="G6"/>
      <c r="H6"/>
      <c r="I6"/>
      <c r="J6"/>
      <c r="K6"/>
    </row>
    <row r="8" spans="1:11" x14ac:dyDescent="0.25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12</v>
      </c>
      <c r="H8" s="6" t="s">
        <v>13</v>
      </c>
      <c r="I8" s="6" t="s">
        <v>14</v>
      </c>
      <c r="J8" s="6" t="s">
        <v>15</v>
      </c>
      <c r="K8" s="6" t="s">
        <v>16</v>
      </c>
    </row>
    <row r="9" spans="1:11" x14ac:dyDescent="0.25">
      <c r="A9" s="7" t="s">
        <v>17</v>
      </c>
      <c r="B9" s="7" t="s">
        <v>18</v>
      </c>
      <c r="C9" s="7" t="s">
        <v>19</v>
      </c>
      <c r="D9" s="7" t="s">
        <v>20</v>
      </c>
      <c r="E9" s="7" t="s">
        <v>21</v>
      </c>
      <c r="F9" s="7" t="s">
        <v>22</v>
      </c>
      <c r="G9" s="8">
        <v>1</v>
      </c>
      <c r="H9" s="9">
        <v>130</v>
      </c>
      <c r="I9" s="10">
        <f>'Lucas Moraes'!G40</f>
      </c>
      <c r="J9" s="11">
        <f>H9*I9</f>
      </c>
      <c r="K9" s="7">
        <f>$H$4</f>
      </c>
    </row>
    <row r="10" spans="1:11" x14ac:dyDescent="0.25">
      <c r="A10" s="7" t="s">
        <v>23</v>
      </c>
      <c r="B10" s="7" t="s">
        <v>24</v>
      </c>
      <c r="C10" s="7" t="s">
        <v>25</v>
      </c>
      <c r="D10" s="7" t="s">
        <v>20</v>
      </c>
      <c r="E10" s="7" t="s">
        <v>21</v>
      </c>
      <c r="F10" s="7" t="s">
        <v>22</v>
      </c>
      <c r="G10" s="8">
        <v>1</v>
      </c>
      <c r="H10" s="9">
        <v>130</v>
      </c>
      <c r="I10" s="10">
        <f>'Bianca Franzon'!G40</f>
      </c>
      <c r="J10" s="11">
        <f>H10*I10</f>
      </c>
      <c r="K10" s="7">
        <f>$H$4</f>
      </c>
    </row>
    <row r="11" spans="1:11" x14ac:dyDescent="0.25">
      <c r="A11" s="7" t="s">
        <v>26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8">
        <v>1</v>
      </c>
      <c r="H11" s="9">
        <v>130</v>
      </c>
      <c r="I11" s="10">
        <f>'João Teste 3'!G40</f>
      </c>
      <c r="J11" s="11">
        <f>H11*I11</f>
      </c>
      <c r="K11" s="7">
        <f>$H$4</f>
      </c>
    </row>
    <row r="12" spans="8:10" s="12" customFormat="1" x14ac:dyDescent="0.25">
      <c r="H12" s="12" t="s">
        <v>27</v>
      </c>
      <c r="J12" s="12">
        <f>SUM(J9:J11)</f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K1"/>
    <mergeCell ref="A2:K2"/>
    <mergeCell ref="A6:K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Lucas Moraes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28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29</v>
      </c>
      <c r="B4" s="5" t="s">
        <v>17</v>
      </c>
      <c r="D4" s="3" t="s">
        <v>30</v>
      </c>
      <c r="E4" s="5" t="s">
        <v>18</v>
      </c>
      <c r="G4" s="3" t="s">
        <v>31</v>
      </c>
      <c r="H4" s="5" t="s">
        <v>20</v>
      </c>
    </row>
    <row r="5" spans="1:8" x14ac:dyDescent="0.25">
      <c r="A5" s="3" t="s">
        <v>32</v>
      </c>
      <c r="B5" s="5" t="s">
        <v>21</v>
      </c>
      <c r="D5" s="3" t="s">
        <v>33</v>
      </c>
      <c r="E5" s="13">
        <f>Consolidado!H9</f>
      </c>
      <c r="G5" s="3" t="s">
        <v>34</v>
      </c>
      <c r="H5" s="5" t="str">
        <f>Consolidado!$H$4&amp;"/"&amp;Consolidado!$E$4</f>
        <v>#NUM!</v>
      </c>
    </row>
    <row r="7" spans="1:8" x14ac:dyDescent="0.25">
      <c r="A7" s="14" t="s">
        <v>35</v>
      </c>
      <c r="B7" s="14" t="s">
        <v>36</v>
      </c>
      <c r="C7" s="14" t="s">
        <v>37</v>
      </c>
      <c r="D7" s="14" t="s">
        <v>38</v>
      </c>
      <c r="E7" s="14" t="s">
        <v>39</v>
      </c>
      <c r="F7" s="14" t="s">
        <v>40</v>
      </c>
      <c r="G7" s="14" t="s">
        <v>41</v>
      </c>
      <c r="H7" s="14" t="s">
        <v>42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 t="s">
        <v>43</v>
      </c>
      <c r="D9" s="16" t="s">
        <v>44</v>
      </c>
      <c r="E9" s="16" t="s">
        <v>45</v>
      </c>
      <c r="F9" s="16" t="s">
        <v>46</v>
      </c>
      <c r="G9" s="17">
        <f t="shared" si="1"/>
      </c>
      <c r="H9" s="7" t="s">
        <v>47</v>
      </c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 t="s">
        <v>43</v>
      </c>
      <c r="D10" s="16" t="s">
        <v>44</v>
      </c>
      <c r="E10" s="16" t="s">
        <v>45</v>
      </c>
      <c r="F10" s="16" t="s">
        <v>46</v>
      </c>
      <c r="G10" s="17">
        <f t="shared" si="1"/>
      </c>
      <c r="H10" s="7" t="s">
        <v>47</v>
      </c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 t="s">
        <v>43</v>
      </c>
      <c r="D11" s="16" t="s">
        <v>44</v>
      </c>
      <c r="E11" s="16" t="s">
        <v>45</v>
      </c>
      <c r="F11" s="16" t="s">
        <v>46</v>
      </c>
      <c r="G11" s="17">
        <f t="shared" si="1"/>
      </c>
      <c r="H11" s="7" t="s">
        <v>47</v>
      </c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48</v>
      </c>
      <c r="G40" s="19">
        <f>SUM(G8:G38)</f>
      </c>
    </row>
    <row r="41" spans="1:7" x14ac:dyDescent="0.25">
      <c r="F41" s="20" t="s">
        <v>49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Bianca Franzon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28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29</v>
      </c>
      <c r="B4" s="5" t="s">
        <v>23</v>
      </c>
      <c r="D4" s="3" t="s">
        <v>30</v>
      </c>
      <c r="E4" s="5" t="s">
        <v>24</v>
      </c>
      <c r="G4" s="3" t="s">
        <v>31</v>
      </c>
      <c r="H4" s="5" t="s">
        <v>20</v>
      </c>
    </row>
    <row r="5" spans="1:8" x14ac:dyDescent="0.25">
      <c r="A5" s="3" t="s">
        <v>32</v>
      </c>
      <c r="B5" s="5" t="s">
        <v>21</v>
      </c>
      <c r="D5" s="3" t="s">
        <v>33</v>
      </c>
      <c r="E5" s="13">
        <f>Consolidado!H9</f>
      </c>
      <c r="G5" s="3" t="s">
        <v>34</v>
      </c>
      <c r="H5" s="5" t="str">
        <f>Consolidado!$H$4&amp;"/"&amp;Consolidado!$E$4</f>
        <v>#NUM!</v>
      </c>
    </row>
    <row r="7" spans="1:8" x14ac:dyDescent="0.25">
      <c r="A7" s="14" t="s">
        <v>35</v>
      </c>
      <c r="B7" s="14" t="s">
        <v>36</v>
      </c>
      <c r="C7" s="14" t="s">
        <v>37</v>
      </c>
      <c r="D7" s="14" t="s">
        <v>38</v>
      </c>
      <c r="E7" s="14" t="s">
        <v>39</v>
      </c>
      <c r="F7" s="14" t="s">
        <v>40</v>
      </c>
      <c r="G7" s="14" t="s">
        <v>41</v>
      </c>
      <c r="H7" s="14" t="s">
        <v>42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 t="s">
        <v>43</v>
      </c>
      <c r="D8" s="16" t="s">
        <v>44</v>
      </c>
      <c r="E8" s="16" t="s">
        <v>45</v>
      </c>
      <c r="F8" s="16" t="s">
        <v>46</v>
      </c>
      <c r="G8" s="17">
        <f t="shared" ref="G8:G38" si="1">IF(OR(C8="",D8="",E8="",F8=""),"",(D8-C8)*24+(F8-E8)*24)</f>
      </c>
      <c r="H8" s="7" t="s">
        <v>47</v>
      </c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/>
      <c r="D9" s="16"/>
      <c r="E9" s="16"/>
      <c r="F9" s="16"/>
      <c r="G9" s="17">
        <f t="shared" si="1"/>
      </c>
      <c r="H9" s="7"/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/>
      <c r="D10" s="16"/>
      <c r="E10" s="16"/>
      <c r="F10" s="16"/>
      <c r="G10" s="17">
        <f t="shared" si="1"/>
      </c>
      <c r="H10" s="7"/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 t="s">
        <v>43</v>
      </c>
      <c r="D11" s="16" t="s">
        <v>44</v>
      </c>
      <c r="E11" s="16" t="s">
        <v>45</v>
      </c>
      <c r="F11" s="16" t="s">
        <v>46</v>
      </c>
      <c r="G11" s="17">
        <f t="shared" si="1"/>
      </c>
      <c r="H11" s="7" t="s">
        <v>47</v>
      </c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 t="s">
        <v>50</v>
      </c>
      <c r="D12" s="16" t="s">
        <v>44</v>
      </c>
      <c r="E12" s="16" t="s">
        <v>45</v>
      </c>
      <c r="F12" s="16" t="s">
        <v>51</v>
      </c>
      <c r="G12" s="17">
        <f t="shared" si="1"/>
      </c>
      <c r="H12" s="7" t="s">
        <v>52</v>
      </c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48</v>
      </c>
      <c r="G40" s="19">
        <f>SUM(G8:G38)</f>
      </c>
    </row>
    <row r="41" spans="1:7" x14ac:dyDescent="0.25">
      <c r="F41" s="20" t="s">
        <v>49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João Teste 3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28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29</v>
      </c>
      <c r="B4" s="5" t="s">
        <v>26</v>
      </c>
      <c r="D4" s="3" t="s">
        <v>30</v>
      </c>
      <c r="E4" s="5" t="s">
        <v>18</v>
      </c>
      <c r="G4" s="3" t="s">
        <v>31</v>
      </c>
      <c r="H4" s="5" t="s">
        <v>20</v>
      </c>
    </row>
    <row r="5" spans="1:8" x14ac:dyDescent="0.25">
      <c r="A5" s="3" t="s">
        <v>32</v>
      </c>
      <c r="B5" s="5" t="s">
        <v>21</v>
      </c>
      <c r="D5" s="3" t="s">
        <v>33</v>
      </c>
      <c r="E5" s="13">
        <f>Consolidado!H9</f>
      </c>
      <c r="G5" s="3" t="s">
        <v>34</v>
      </c>
      <c r="H5" s="5" t="str">
        <f>Consolidado!$H$4&amp;"/"&amp;Consolidado!$E$4</f>
        <v>#NUM!</v>
      </c>
    </row>
    <row r="7" spans="1:8" x14ac:dyDescent="0.25">
      <c r="A7" s="14" t="s">
        <v>35</v>
      </c>
      <c r="B7" s="14" t="s">
        <v>36</v>
      </c>
      <c r="C7" s="14" t="s">
        <v>37</v>
      </c>
      <c r="D7" s="14" t="s">
        <v>38</v>
      </c>
      <c r="E7" s="14" t="s">
        <v>39</v>
      </c>
      <c r="F7" s="14" t="s">
        <v>40</v>
      </c>
      <c r="G7" s="14" t="s">
        <v>41</v>
      </c>
      <c r="H7" s="14" t="s">
        <v>42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/>
      <c r="D9" s="16"/>
      <c r="E9" s="16"/>
      <c r="F9" s="16"/>
      <c r="G9" s="17">
        <f t="shared" si="1"/>
      </c>
      <c r="H9" s="7"/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/>
      <c r="D10" s="16"/>
      <c r="E10" s="16"/>
      <c r="F10" s="16"/>
      <c r="G10" s="17">
        <f t="shared" si="1"/>
      </c>
      <c r="H10" s="7"/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/>
      <c r="D11" s="16"/>
      <c r="E11" s="16"/>
      <c r="F11" s="16"/>
      <c r="G11" s="17">
        <f t="shared" si="1"/>
      </c>
      <c r="H11" s="7"/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48</v>
      </c>
      <c r="G40" s="19">
        <f>SUM(G8:G38)</f>
      </c>
    </row>
    <row r="41" spans="1:7" x14ac:dyDescent="0.25">
      <c r="F41" s="20" t="s">
        <v>49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Consolidado</vt:lpstr>
      <vt:lpstr>Lucas Moraes</vt:lpstr>
      <vt:lpstr>Bianca Franzon</vt:lpstr>
      <vt:lpstr>João Teste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2026-10-19T18:35:22Z</dcterms:created>
  <dcterms:modified xsi:type="dcterms:W3CDTF">2026-10-19T18:35:22Z</dcterms:modified>
</cp:coreProperties>
</file>