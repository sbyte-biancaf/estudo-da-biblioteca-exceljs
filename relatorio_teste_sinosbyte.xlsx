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idado" state="visible" r:id="rId4"/>
    <sheet sheetId="3" name="Lucas Moraes" state="visible" r:id="rId5"/>
    <sheet sheetId="4" name="Bianca Franzon" state="visible" r:id="rId6"/>
    <sheet sheetId="5" name="Guilherme Fagundes" state="visible" r:id="rId7"/>
    <sheet sheetId="6" name="Joszef Barrionuevo" state="visible" r:id="rId8"/>
  </sheets>
  <calcPr calcId="171027"/>
</workbook>
</file>

<file path=xl/sharedStrings.xml><?xml version="1.0" encoding="utf-8"?>
<sst xmlns="http://schemas.openxmlformats.org/spreadsheetml/2006/main" count="311" uniqueCount="71">
  <si>
    <t>CONSOLIDADO — SINOSBYTE</t>
  </si>
  <si>
    <t>Preencha o Mês e o Ano de referência abaixo — todas as abas se ajustam sozinhas.</t>
  </si>
  <si>
    <t>Mês de referência (1 a 12):</t>
  </si>
  <si>
    <t>Ano de referência:</t>
  </si>
  <si>
    <t>Mês:</t>
  </si>
  <si>
    <t>Revise a coluna VALOR HORA (em azul) se houve reajuste. As colunas TOTAL DE HORAS e TOTAL R$ MENSAL são calculadas automaticamente a partir da aba de cada colaborador.</t>
  </si>
  <si>
    <t>COLABORADOR</t>
  </si>
  <si>
    <t>CARGO/FUNÇÃO</t>
  </si>
  <si>
    <t>SENIORIDADE</t>
  </si>
  <si>
    <t>NOME FORNECEDOR</t>
  </si>
  <si>
    <t>SQUAD</t>
  </si>
  <si>
    <t>RESPONSÁVEL IMEDIATO</t>
  </si>
  <si>
    <t>% ALOCAÇÃO</t>
  </si>
  <si>
    <t>VALOR HORA</t>
  </si>
  <si>
    <t>TOTAL DE HORAS</t>
  </si>
  <si>
    <t>TOTAL R$ MENSAL</t>
  </si>
  <si>
    <t>MÊS</t>
  </si>
  <si>
    <t>Lucas Moraes</t>
  </si>
  <si>
    <t>Desenvolvedor</t>
  </si>
  <si>
    <t>SENIOR</t>
  </si>
  <si>
    <t>SINOSBYTE</t>
  </si>
  <si>
    <t>SUSTENTAÇÃO</t>
  </si>
  <si>
    <t>Luciano Muller</t>
  </si>
  <si>
    <t>Bianca Franzon</t>
  </si>
  <si>
    <t>Desenvolvedora</t>
  </si>
  <si>
    <t>JUNIOR</t>
  </si>
  <si>
    <t>Guilherme Fagundes</t>
  </si>
  <si>
    <t>Joszef Barrionuevo</t>
  </si>
  <si>
    <t>TOTAL GERAL</t>
  </si>
  <si>
    <t>Preencha apenas as células amarelas (Entrada, Saída Almoço, Retorno Almoço, Saída). O Total de Horas e o Total do Mês são calculados automaticamente. O mês/ano é definido na aba Consolidado.</t>
  </si>
  <si>
    <t>Colaborador:</t>
  </si>
  <si>
    <t>Cargo:</t>
  </si>
  <si>
    <t>Empresa:</t>
  </si>
  <si>
    <t>Squad:</t>
  </si>
  <si>
    <t>Valor Hora (R$):</t>
  </si>
  <si>
    <t>Mês/Ano:</t>
  </si>
  <si>
    <t>Data</t>
  </si>
  <si>
    <t>Dia da Semana</t>
  </si>
  <si>
    <t>Entrada</t>
  </si>
  <si>
    <t>Saída Almoço</t>
  </si>
  <si>
    <t>Retorno Almoço</t>
  </si>
  <si>
    <t>Saída</t>
  </si>
  <si>
    <t>Total Horas</t>
  </si>
  <si>
    <t>Observações</t>
  </si>
  <si>
    <t>09:30</t>
  </si>
  <si>
    <t>12:00</t>
  </si>
  <si>
    <t>13:00</t>
  </si>
  <si>
    <t>18:30</t>
  </si>
  <si>
    <t>Teste 2</t>
  </si>
  <si>
    <t>TOTAL HORAS DO MÊS</t>
  </si>
  <si>
    <t>TOTAL R$ MENSAL (estimado)</t>
  </si>
  <si>
    <t>00:00</t>
  </si>
  <si>
    <t>18:00</t>
  </si>
  <si>
    <t>Teste 31</t>
  </si>
  <si>
    <t>Teste 1</t>
  </si>
  <si>
    <t>07:45</t>
  </si>
  <si>
    <t>15:05</t>
  </si>
  <si>
    <t>Teste 3</t>
  </si>
  <si>
    <t>Teste 43211</t>
  </si>
  <si>
    <t>09:00</t>
  </si>
  <si>
    <t>Teste 51</t>
  </si>
  <si>
    <t>Teste 361</t>
  </si>
  <si>
    <t>Teste 21</t>
  </si>
  <si>
    <t>Teste 41</t>
  </si>
  <si>
    <t>Teste 221</t>
  </si>
  <si>
    <t>08:45</t>
  </si>
  <si>
    <t>19:00</t>
  </si>
  <si>
    <t>Test</t>
  </si>
  <si>
    <t>18:10</t>
  </si>
  <si>
    <t>17:40</t>
  </si>
  <si>
    <t>18:35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</si>
</sst>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9" x14ac:knownFonts="1">
    <font>
      <color theme="1"/>
      <family val="2"/>
      <scheme val="minor"/>
      <sz val="11"/>
      <name val="Calibri"/>
    </font>
    <font>
      <b/>
      <color rgb="FF1F4E78"/>
      <sz val="14"/>
      <name val="Arial"/>
    </font>
    <font>
      <i/>
      <color rgb="FF595959"/>
      <sz val="9"/>
      <name val="Arial"/>
    </font>
    <font>
      <b/>
      <color theme="1"/>
      <sz val="10"/>
      <name val="Arial"/>
    </font>
    <font>
      <b/>
      <color rgb="FF0000FF"/>
      <sz val="11"/>
      <name val="Arial"/>
    </font>
    <font>
      <color theme="1"/>
      <sz val="10"/>
      <name val="Arial"/>
    </font>
    <font>
      <b/>
      <color rgb="FFFFFFFF"/>
      <sz val="10"/>
      <name val="Arial"/>
    </font>
    <font>
      <b/>
    </font>
    <font>
      <color theme="1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horizontal="center" wrapText="1"/>
    </xf>
    <xf numFmtId="0" fontId="5" fillId="0" borderId="1" xfId="0" applyFont="1" applyBorder="1"/>
    <xf numFmtId="9" fontId="5" fillId="0" borderId="1" xfId="0" applyNumberFormat="1" applyFont="1" applyBorder="1"/>
    <xf numFmtId="164" fontId="4" fillId="2" borderId="1" xfId="0" applyNumberFormat="1" applyFont="1" applyFill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0" fontId="7" fillId="0" borderId="0" xfId="0" applyFont="1"/>
    <xf numFmtId="164" fontId="7" fillId="0" borderId="0" xfId="0" applyNumberFormat="1" applyFont="1"/>
    <xf numFmtId="164" fontId="5" fillId="0" borderId="0" xfId="0" applyNumberFormat="1" applyFont="1"/>
    <xf numFmtId="0" fontId="6" fillId="3" borderId="1" xfId="0" applyFont="1" applyFill="1" applyBorder="1" applyAlignment="1">
      <alignment horizontal="center"/>
    </xf>
    <xf numFmtId="14" fontId="5" fillId="0" borderId="1" xfId="0" applyNumberFormat="1" applyFont="1" applyBorder="1"/>
    <xf numFmtId="20" fontId="5" fillId="4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2" fontId="3" fillId="5" borderId="1" xfId="0" applyNumberFormat="1" applyFont="1" applyFill="1" applyBorder="1"/>
    <xf numFmtId="0" fontId="5" fillId="0" borderId="0" xfId="0" applyFont="1" applyAlignment="1">
      <alignment horizontal="right"/>
    </xf>
    <xf numFmtId="16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 showGridLines="0" zoomScale="100" zoomScaleNormal="100">
      <pane ySplit="8" topLeftCell="A9" activePane="bottomLeft" state="frozen"/>
      <selection pane="bottomLeft" activeCell="B10" sqref="B10"/>
    </sheetView>
  </sheetViews>
  <sheetFormatPr defaultRowHeight="15" outlineLevelRow="0" outlineLevelCol="0" x14ac:dyDescent="0" defaultColWidth="14.43"/>
  <cols>
    <col min="1" max="1" width="30" customWidth="1"/>
    <col min="2" max="2" width="26" customWidth="1"/>
    <col min="3" max="4" width="14" customWidth="1"/>
    <col min="5" max="5" width="22" customWidth="1"/>
    <col min="6" max="6" width="26" customWidth="1"/>
    <col min="7" max="8" width="12" customWidth="1"/>
    <col min="9" max="9" width="14" customWidth="1"/>
    <col min="10" max="10" width="16" customWidth="1"/>
    <col min="11" max="11" width="12" customWidth="1"/>
  </cols>
  <sheetData>
    <row r="1" spans="1:11" x14ac:dyDescent="0.25">
      <c r="A1" s="1" t="s">
        <v>0</v>
      </c>
      <c r="B1"/>
      <c r="C1"/>
      <c r="D1"/>
      <c r="E1"/>
      <c r="F1"/>
      <c r="G1"/>
      <c r="H1"/>
      <c r="I1"/>
      <c r="J1"/>
      <c r="K1"/>
    </row>
    <row r="2" spans="1:11" x14ac:dyDescent="0.25">
      <c r="A2" s="2" t="s">
        <v>1</v>
      </c>
      <c r="B2"/>
      <c r="C2"/>
      <c r="D2"/>
      <c r="E2"/>
      <c r="F2"/>
      <c r="G2"/>
      <c r="H2"/>
      <c r="I2"/>
      <c r="J2"/>
      <c r="K2"/>
    </row>
    <row r="4" spans="1:8" x14ac:dyDescent="0.25">
      <c r="A4" s="3" t="s">
        <v>2</v>
      </c>
      <c r="B4" s="4">
        <v>5</v>
      </c>
      <c r="D4" s="3" t="s">
        <v>3</v>
      </c>
      <c r="E4" s="4">
        <v>2026</v>
      </c>
      <c r="G4" s="3" t="s">
        <v>4</v>
      </c>
      <c r="H4" s="5" t="str">
        <f>CHOOSE(B4,"JANEIRO","FEVEREIRO","MARÇO","ABRIL","MAIO","JUNHO","JULHO","AGOSTO","SETEMBRO","OUTUBRO","NOVEMBRO","DEZEMBRO")</f>
        <v>#NUM!</v>
      </c>
    </row>
    <row r="6" spans="1:11" x14ac:dyDescent="0.25">
      <c r="A6" s="2" t="s">
        <v>5</v>
      </c>
      <c r="B6"/>
      <c r="C6"/>
      <c r="D6"/>
      <c r="E6"/>
      <c r="F6"/>
      <c r="G6"/>
      <c r="H6"/>
      <c r="I6"/>
      <c r="J6"/>
      <c r="K6"/>
    </row>
    <row r="8" spans="1:11" x14ac:dyDescent="0.25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</row>
    <row r="9" spans="1:11" x14ac:dyDescent="0.25">
      <c r="A9" s="7" t="s">
        <v>17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22</v>
      </c>
      <c r="G9" s="8">
        <v>1</v>
      </c>
      <c r="H9" s="9">
        <v>130</v>
      </c>
      <c r="I9" s="10">
        <f>'Lucas Moraes'!G40</f>
      </c>
      <c r="J9" s="11">
        <f>H9*I9</f>
      </c>
      <c r="K9" s="7">
        <f>$H$4</f>
      </c>
    </row>
    <row r="10" spans="1:11" x14ac:dyDescent="0.25">
      <c r="A10" s="7" t="s">
        <v>23</v>
      </c>
      <c r="B10" s="7" t="s">
        <v>24</v>
      </c>
      <c r="C10" s="7" t="s">
        <v>25</v>
      </c>
      <c r="D10" s="7" t="s">
        <v>20</v>
      </c>
      <c r="E10" s="7" t="s">
        <v>21</v>
      </c>
      <c r="F10" s="7" t="s">
        <v>22</v>
      </c>
      <c r="G10" s="8">
        <v>1</v>
      </c>
      <c r="H10" s="9">
        <v>100</v>
      </c>
      <c r="I10" s="10">
        <f>'Bianca Franzon'!G40</f>
      </c>
      <c r="J10" s="11">
        <f>H10*I10</f>
      </c>
      <c r="K10" s="7">
        <f>$H$4</f>
      </c>
    </row>
    <row r="11" spans="1:11" x14ac:dyDescent="0.25">
      <c r="A11" s="7" t="s">
        <v>26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8">
        <v>1</v>
      </c>
      <c r="H11" s="9">
        <v>110</v>
      </c>
      <c r="I11" s="10">
        <f>'Guilherme Fagundes'!G40</f>
      </c>
      <c r="J11" s="11">
        <f>H11*I11</f>
      </c>
      <c r="K11" s="7">
        <f>$H$4</f>
      </c>
    </row>
    <row r="12" spans="1:11" x14ac:dyDescent="0.25">
      <c r="A12" s="7" t="s">
        <v>27</v>
      </c>
      <c r="B12" s="7" t="s">
        <v>18</v>
      </c>
      <c r="C12" s="7" t="s">
        <v>19</v>
      </c>
      <c r="D12" s="7" t="s">
        <v>20</v>
      </c>
      <c r="E12" s="7" t="s">
        <v>21</v>
      </c>
      <c r="F12" s="7" t="s">
        <v>22</v>
      </c>
      <c r="G12" s="8">
        <v>1</v>
      </c>
      <c r="H12" s="9">
        <v>140</v>
      </c>
      <c r="I12" s="10">
        <f>'Joszef Barrionuevo'!G40</f>
      </c>
      <c r="J12" s="11">
        <f>H12*I12</f>
      </c>
      <c r="K12" s="7">
        <f>$H$4</f>
      </c>
    </row>
    <row r="13" spans="8:10" s="12" customFormat="1" x14ac:dyDescent="0.25">
      <c r="H13" s="12" t="s">
        <v>28</v>
      </c>
      <c r="J13" s="13">
        <f>SUM(J9:J12)</f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K1"/>
    <mergeCell ref="A2:K2"/>
    <mergeCell ref="A6:K6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5" width="14" customWidth="1"/>
    <col min="6" max="7" width="12" customWidth="1"/>
    <col min="8" max="8" width="24" customWidth="1"/>
  </cols>
  <sheetData>
    <row r="1" spans="1:8" x14ac:dyDescent="0.25">
      <c r="A1" s="1">
        <f>"REGISTRO DE PONTO — Lucas Moraes — SINOSBYTE — " &amp; Consolidado!$H$4 &amp; "/" &amp; Consolidado!$E$4</f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29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30</v>
      </c>
      <c r="B4" s="5" t="s">
        <v>17</v>
      </c>
      <c r="D4" s="3" t="s">
        <v>31</v>
      </c>
      <c r="E4" s="5" t="s">
        <v>18</v>
      </c>
      <c r="G4" s="3" t="s">
        <v>32</v>
      </c>
      <c r="H4" s="5" t="s">
        <v>20</v>
      </c>
    </row>
    <row r="5" spans="1:8" x14ac:dyDescent="0.25">
      <c r="A5" s="3" t="s">
        <v>33</v>
      </c>
      <c r="B5" s="5" t="s">
        <v>21</v>
      </c>
      <c r="D5" s="3" t="s">
        <v>34</v>
      </c>
      <c r="E5" s="14">
        <v>130</v>
      </c>
      <c r="G5" s="3" t="s">
        <v>35</v>
      </c>
      <c r="H5" s="5" t="str">
        <f>Consolidado!$H$4&amp;"/"&amp;Consolidado!$E$4</f>
        <v>#NUM!</v>
      </c>
    </row>
    <row r="7" spans="1:8" x14ac:dyDescent="0.25">
      <c r="A7" s="15" t="s">
        <v>36</v>
      </c>
      <c r="B7" s="15" t="s">
        <v>37</v>
      </c>
      <c r="C7" s="15" t="s">
        <v>38</v>
      </c>
      <c r="D7" s="15" t="s">
        <v>39</v>
      </c>
      <c r="E7" s="15" t="s">
        <v>40</v>
      </c>
      <c r="F7" s="15" t="s">
        <v>41</v>
      </c>
      <c r="G7" s="15" t="s">
        <v>42</v>
      </c>
      <c r="H7" s="15" t="s">
        <v>43</v>
      </c>
    </row>
    <row r="8" spans="1:8" x14ac:dyDescent="0.25">
      <c r="A8" s="16">
        <f>IF(1&lt;=DAY(EOMONTH(DATE(Consolidado!$E$4,Consolidado!$B$4,1),0)),DATE(Consolidado!$E$4,Consolidado!$B$4,1),"")</f>
        <v>NaN</v>
      </c>
      <c r="B8" s="7" t="str">
        <f t="shared" ref="B8:B38" si="0">IF(A8="","",CHOOSE(WEEKDAY(A8,2),"Segunda-feira","Terça-feira","Quarta-feira","Quinta-feira","Sexta-feira","Sábado","Domingo"))</f>
        <v>#NUM!</v>
      </c>
      <c r="C8" s="17"/>
      <c r="D8" s="17"/>
      <c r="E8" s="17"/>
      <c r="F8" s="17"/>
      <c r="G8" s="18">
        <f t="shared" ref="G8:G38" si="1">IF(OR(C8="",D8="",E8="",F8=""),"",(D8-C8)*24+(F8-E8)*24)</f>
      </c>
      <c r="H8" s="7"/>
    </row>
    <row r="9" spans="1:8" x14ac:dyDescent="0.25">
      <c r="A9" s="16">
        <f>IF(2&lt;=DAY(EOMONTH(DATE(Consolidado!$E$4,Consolidado!$B$4,1),0)),DATE(Consolidado!$E$4,Consolidado!$B$4,2),"")</f>
        <v>NaN</v>
      </c>
      <c r="B9" s="7" t="str">
        <f t="shared" si="0"/>
        <v>#NUM!</v>
      </c>
      <c r="C9" s="17" t="s">
        <v>44</v>
      </c>
      <c r="D9" s="17" t="s">
        <v>45</v>
      </c>
      <c r="E9" s="17" t="s">
        <v>46</v>
      </c>
      <c r="F9" s="17" t="s">
        <v>47</v>
      </c>
      <c r="G9" s="18">
        <f t="shared" si="1"/>
      </c>
      <c r="H9" s="7" t="s">
        <v>48</v>
      </c>
    </row>
    <row r="10" spans="1:8" x14ac:dyDescent="0.25">
      <c r="A10" s="16">
        <f>IF(3&lt;=DAY(EOMONTH(DATE(Consolidado!$E$4,Consolidado!$B$4,1),0)),DATE(Consolidado!$E$4,Consolidado!$B$4,3),"")</f>
        <v>NaN</v>
      </c>
      <c r="B10" s="7" t="str">
        <f t="shared" si="0"/>
        <v>#NUM!</v>
      </c>
      <c r="C10" s="17" t="s">
        <v>44</v>
      </c>
      <c r="D10" s="17" t="s">
        <v>45</v>
      </c>
      <c r="E10" s="17" t="s">
        <v>46</v>
      </c>
      <c r="F10" s="17" t="s">
        <v>47</v>
      </c>
      <c r="G10" s="18">
        <f t="shared" si="1"/>
      </c>
      <c r="H10" s="7" t="s">
        <v>48</v>
      </c>
    </row>
    <row r="11" spans="1:8" x14ac:dyDescent="0.25">
      <c r="A11" s="16">
        <f>IF(4&lt;=DAY(EOMONTH(DATE(Consolidado!$E$4,Consolidado!$B$4,1),0)),DATE(Consolidado!$E$4,Consolidado!$B$4,4),"")</f>
        <v>NaN</v>
      </c>
      <c r="B11" s="7" t="str">
        <f t="shared" si="0"/>
        <v>#NUM!</v>
      </c>
      <c r="C11" s="17" t="s">
        <v>44</v>
      </c>
      <c r="D11" s="17" t="s">
        <v>45</v>
      </c>
      <c r="E11" s="17" t="s">
        <v>46</v>
      </c>
      <c r="F11" s="17" t="s">
        <v>47</v>
      </c>
      <c r="G11" s="18">
        <f t="shared" si="1"/>
      </c>
      <c r="H11" s="7" t="s">
        <v>48</v>
      </c>
    </row>
    <row r="12" spans="1:8" x14ac:dyDescent="0.25">
      <c r="A12" s="16">
        <f>IF(5&lt;=DAY(EOMONTH(DATE(Consolidado!$E$4,Consolidado!$B$4,1),0)),DATE(Consolidado!$E$4,Consolidado!$B$4,5),"")</f>
        <v>NaN</v>
      </c>
      <c r="B12" s="7" t="str">
        <f t="shared" si="0"/>
        <v>#NUM!</v>
      </c>
      <c r="C12" s="17"/>
      <c r="D12" s="17"/>
      <c r="E12" s="17"/>
      <c r="F12" s="17"/>
      <c r="G12" s="18">
        <f t="shared" si="1"/>
      </c>
      <c r="H12" s="7"/>
    </row>
    <row r="13" spans="1:8" x14ac:dyDescent="0.25">
      <c r="A13" s="16">
        <f>IF(6&lt;=DAY(EOMONTH(DATE(Consolidado!$E$4,Consolidado!$B$4,1),0)),DATE(Consolidado!$E$4,Consolidado!$B$4,6),"")</f>
        <v>NaN</v>
      </c>
      <c r="B13" s="7" t="str">
        <f t="shared" si="0"/>
        <v>#NUM!</v>
      </c>
      <c r="C13" s="17"/>
      <c r="D13" s="17"/>
      <c r="E13" s="17"/>
      <c r="F13" s="17"/>
      <c r="G13" s="18">
        <f t="shared" si="1"/>
      </c>
      <c r="H13" s="7"/>
    </row>
    <row r="14" spans="1:8" x14ac:dyDescent="0.25">
      <c r="A14" s="16">
        <f>IF(7&lt;=DAY(EOMONTH(DATE(Consolidado!$E$4,Consolidado!$B$4,1),0)),DATE(Consolidado!$E$4,Consolidado!$B$4,7),"")</f>
        <v>NaN</v>
      </c>
      <c r="B14" s="7" t="str">
        <f t="shared" si="0"/>
        <v>#NUM!</v>
      </c>
      <c r="C14" s="17"/>
      <c r="D14" s="17"/>
      <c r="E14" s="17"/>
      <c r="F14" s="17"/>
      <c r="G14" s="18">
        <f t="shared" si="1"/>
      </c>
      <c r="H14" s="7"/>
    </row>
    <row r="15" spans="1:8" x14ac:dyDescent="0.25">
      <c r="A15" s="16">
        <f>IF(8&lt;=DAY(EOMONTH(DATE(Consolidado!$E$4,Consolidado!$B$4,1),0)),DATE(Consolidado!$E$4,Consolidado!$B$4,8),"")</f>
        <v>NaN</v>
      </c>
      <c r="B15" s="7" t="str">
        <f t="shared" si="0"/>
        <v>#NUM!</v>
      </c>
      <c r="C15" s="17"/>
      <c r="D15" s="17"/>
      <c r="E15" s="17"/>
      <c r="F15" s="17"/>
      <c r="G15" s="18">
        <f t="shared" si="1"/>
      </c>
      <c r="H15" s="7"/>
    </row>
    <row r="16" spans="1:8" x14ac:dyDescent="0.25">
      <c r="A16" s="16">
        <f>IF(9&lt;=DAY(EOMONTH(DATE(Consolidado!$E$4,Consolidado!$B$4,1),0)),DATE(Consolidado!$E$4,Consolidado!$B$4,9),"")</f>
        <v>NaN</v>
      </c>
      <c r="B16" s="7" t="str">
        <f t="shared" si="0"/>
        <v>#NUM!</v>
      </c>
      <c r="C16" s="17"/>
      <c r="D16" s="17"/>
      <c r="E16" s="17"/>
      <c r="F16" s="17"/>
      <c r="G16" s="18">
        <f t="shared" si="1"/>
      </c>
      <c r="H16" s="7"/>
    </row>
    <row r="17" spans="1:8" x14ac:dyDescent="0.25">
      <c r="A17" s="16">
        <f>IF(10&lt;=DAY(EOMONTH(DATE(Consolidado!$E$4,Consolidado!$B$4,1),0)),DATE(Consolidado!$E$4,Consolidado!$B$4,10),"")</f>
        <v>NaN</v>
      </c>
      <c r="B17" s="7" t="str">
        <f t="shared" si="0"/>
        <v>#NUM!</v>
      </c>
      <c r="C17" s="17"/>
      <c r="D17" s="17"/>
      <c r="E17" s="17"/>
      <c r="F17" s="17"/>
      <c r="G17" s="18">
        <f t="shared" si="1"/>
      </c>
      <c r="H17" s="7"/>
    </row>
    <row r="18" spans="1:8" x14ac:dyDescent="0.25">
      <c r="A18" s="16">
        <f>IF(11&lt;=DAY(EOMONTH(DATE(Consolidado!$E$4,Consolidado!$B$4,1),0)),DATE(Consolidado!$E$4,Consolidado!$B$4,11),"")</f>
        <v>NaN</v>
      </c>
      <c r="B18" s="7" t="str">
        <f t="shared" si="0"/>
        <v>#NUM!</v>
      </c>
      <c r="C18" s="17"/>
      <c r="D18" s="17"/>
      <c r="E18" s="17"/>
      <c r="F18" s="17"/>
      <c r="G18" s="18">
        <f t="shared" si="1"/>
      </c>
      <c r="H18" s="7"/>
    </row>
    <row r="19" spans="1:8" x14ac:dyDescent="0.25">
      <c r="A19" s="16">
        <f>IF(12&lt;=DAY(EOMONTH(DATE(Consolidado!$E$4,Consolidado!$B$4,1),0)),DATE(Consolidado!$E$4,Consolidado!$B$4,12),"")</f>
        <v>NaN</v>
      </c>
      <c r="B19" s="7" t="str">
        <f t="shared" si="0"/>
        <v>#NUM!</v>
      </c>
      <c r="C19" s="17"/>
      <c r="D19" s="17"/>
      <c r="E19" s="17"/>
      <c r="F19" s="17"/>
      <c r="G19" s="18">
        <f t="shared" si="1"/>
      </c>
      <c r="H19" s="7"/>
    </row>
    <row r="20" spans="1:8" x14ac:dyDescent="0.25">
      <c r="A20" s="16">
        <f>IF(13&lt;=DAY(EOMONTH(DATE(Consolidado!$E$4,Consolidado!$B$4,1),0)),DATE(Consolidado!$E$4,Consolidado!$B$4,13),"")</f>
        <v>NaN</v>
      </c>
      <c r="B20" s="7" t="str">
        <f t="shared" si="0"/>
        <v>#NUM!</v>
      </c>
      <c r="C20" s="17"/>
      <c r="D20" s="17"/>
      <c r="E20" s="17"/>
      <c r="F20" s="17"/>
      <c r="G20" s="18">
        <f t="shared" si="1"/>
      </c>
      <c r="H20" s="7"/>
    </row>
    <row r="21" spans="1:8" x14ac:dyDescent="0.25">
      <c r="A21" s="16">
        <f>IF(14&lt;=DAY(EOMONTH(DATE(Consolidado!$E$4,Consolidado!$B$4,1),0)),DATE(Consolidado!$E$4,Consolidado!$B$4,14),"")</f>
        <v>NaN</v>
      </c>
      <c r="B21" s="7" t="str">
        <f t="shared" si="0"/>
        <v>#NUM!</v>
      </c>
      <c r="C21" s="17"/>
      <c r="D21" s="17"/>
      <c r="E21" s="17"/>
      <c r="F21" s="17"/>
      <c r="G21" s="18">
        <f t="shared" si="1"/>
      </c>
      <c r="H21" s="7"/>
    </row>
    <row r="22" spans="1:8" x14ac:dyDescent="0.25">
      <c r="A22" s="16">
        <f>IF(15&lt;=DAY(EOMONTH(DATE(Consolidado!$E$4,Consolidado!$B$4,1),0)),DATE(Consolidado!$E$4,Consolidado!$B$4,15),"")</f>
        <v>NaN</v>
      </c>
      <c r="B22" s="7" t="str">
        <f t="shared" si="0"/>
        <v>#NUM!</v>
      </c>
      <c r="C22" s="17"/>
      <c r="D22" s="17"/>
      <c r="E22" s="17"/>
      <c r="F22" s="17"/>
      <c r="G22" s="18">
        <f t="shared" si="1"/>
      </c>
      <c r="H22" s="7"/>
    </row>
    <row r="23" spans="1:8" x14ac:dyDescent="0.25">
      <c r="A23" s="16">
        <f>IF(16&lt;=DAY(EOMONTH(DATE(Consolidado!$E$4,Consolidado!$B$4,1),0)),DATE(Consolidado!$E$4,Consolidado!$B$4,16),"")</f>
        <v>NaN</v>
      </c>
      <c r="B23" s="7" t="str">
        <f t="shared" si="0"/>
        <v>#NUM!</v>
      </c>
      <c r="C23" s="17"/>
      <c r="D23" s="17"/>
      <c r="E23" s="17"/>
      <c r="F23" s="17"/>
      <c r="G23" s="18">
        <f t="shared" si="1"/>
      </c>
      <c r="H23" s="7"/>
    </row>
    <row r="24" spans="1:8" x14ac:dyDescent="0.25">
      <c r="A24" s="16">
        <f>IF(17&lt;=DAY(EOMONTH(DATE(Consolidado!$E$4,Consolidado!$B$4,1),0)),DATE(Consolidado!$E$4,Consolidado!$B$4,17),"")</f>
        <v>NaN</v>
      </c>
      <c r="B24" s="7" t="str">
        <f t="shared" si="0"/>
        <v>#NUM!</v>
      </c>
      <c r="C24" s="17"/>
      <c r="D24" s="17"/>
      <c r="E24" s="17"/>
      <c r="F24" s="17"/>
      <c r="G24" s="18">
        <f t="shared" si="1"/>
      </c>
      <c r="H24" s="7"/>
    </row>
    <row r="25" spans="1:8" x14ac:dyDescent="0.25">
      <c r="A25" s="16">
        <f>IF(18&lt;=DAY(EOMONTH(DATE(Consolidado!$E$4,Consolidado!$B$4,1),0)),DATE(Consolidado!$E$4,Consolidado!$B$4,18),"")</f>
        <v>NaN</v>
      </c>
      <c r="B25" s="7" t="str">
        <f t="shared" si="0"/>
        <v>#NUM!</v>
      </c>
      <c r="C25" s="17"/>
      <c r="D25" s="17"/>
      <c r="E25" s="17"/>
      <c r="F25" s="17"/>
      <c r="G25" s="18">
        <f t="shared" si="1"/>
      </c>
      <c r="H25" s="7"/>
    </row>
    <row r="26" spans="1:8" x14ac:dyDescent="0.25">
      <c r="A26" s="16">
        <f>IF(19&lt;=DAY(EOMONTH(DATE(Consolidado!$E$4,Consolidado!$B$4,1),0)),DATE(Consolidado!$E$4,Consolidado!$B$4,19),"")</f>
        <v>NaN</v>
      </c>
      <c r="B26" s="7" t="str">
        <f t="shared" si="0"/>
        <v>#NUM!</v>
      </c>
      <c r="C26" s="17"/>
      <c r="D26" s="17"/>
      <c r="E26" s="17"/>
      <c r="F26" s="17"/>
      <c r="G26" s="18">
        <f t="shared" si="1"/>
      </c>
      <c r="H26" s="7"/>
    </row>
    <row r="27" spans="1:8" x14ac:dyDescent="0.25">
      <c r="A27" s="16">
        <f>IF(20&lt;=DAY(EOMONTH(DATE(Consolidado!$E$4,Consolidado!$B$4,1),0)),DATE(Consolidado!$E$4,Consolidado!$B$4,20),"")</f>
        <v>NaN</v>
      </c>
      <c r="B27" s="7" t="str">
        <f t="shared" si="0"/>
        <v>#NUM!</v>
      </c>
      <c r="C27" s="17"/>
      <c r="D27" s="17"/>
      <c r="E27" s="17"/>
      <c r="F27" s="17"/>
      <c r="G27" s="18">
        <f t="shared" si="1"/>
      </c>
      <c r="H27" s="7"/>
    </row>
    <row r="28" spans="1:8" x14ac:dyDescent="0.25">
      <c r="A28" s="16">
        <f>IF(21&lt;=DAY(EOMONTH(DATE(Consolidado!$E$4,Consolidado!$B$4,1),0)),DATE(Consolidado!$E$4,Consolidado!$B$4,21),"")</f>
        <v>NaN</v>
      </c>
      <c r="B28" s="7" t="str">
        <f t="shared" si="0"/>
        <v>#NUM!</v>
      </c>
      <c r="C28" s="17"/>
      <c r="D28" s="17"/>
      <c r="E28" s="17"/>
      <c r="F28" s="17"/>
      <c r="G28" s="18">
        <f t="shared" si="1"/>
      </c>
      <c r="H28" s="7"/>
    </row>
    <row r="29" spans="1:8" x14ac:dyDescent="0.25">
      <c r="A29" s="16">
        <f>IF(22&lt;=DAY(EOMONTH(DATE(Consolidado!$E$4,Consolidado!$B$4,1),0)),DATE(Consolidado!$E$4,Consolidado!$B$4,22),"")</f>
        <v>NaN</v>
      </c>
      <c r="B29" s="7" t="str">
        <f t="shared" si="0"/>
        <v>#NUM!</v>
      </c>
      <c r="C29" s="17"/>
      <c r="D29" s="17"/>
      <c r="E29" s="17"/>
      <c r="F29" s="17"/>
      <c r="G29" s="18">
        <f t="shared" si="1"/>
      </c>
      <c r="H29" s="7"/>
    </row>
    <row r="30" spans="1:8" x14ac:dyDescent="0.25">
      <c r="A30" s="16">
        <f>IF(23&lt;=DAY(EOMONTH(DATE(Consolidado!$E$4,Consolidado!$B$4,1),0)),DATE(Consolidado!$E$4,Consolidado!$B$4,23),"")</f>
        <v>NaN</v>
      </c>
      <c r="B30" s="7" t="str">
        <f t="shared" si="0"/>
        <v>#NUM!</v>
      </c>
      <c r="C30" s="17"/>
      <c r="D30" s="17"/>
      <c r="E30" s="17"/>
      <c r="F30" s="17"/>
      <c r="G30" s="18">
        <f t="shared" si="1"/>
      </c>
      <c r="H30" s="7"/>
    </row>
    <row r="31" spans="1:8" x14ac:dyDescent="0.25">
      <c r="A31" s="16">
        <f>IF(24&lt;=DAY(EOMONTH(DATE(Consolidado!$E$4,Consolidado!$B$4,1),0)),DATE(Consolidado!$E$4,Consolidado!$B$4,24),"")</f>
        <v>NaN</v>
      </c>
      <c r="B31" s="7" t="str">
        <f t="shared" si="0"/>
        <v>#NUM!</v>
      </c>
      <c r="C31" s="17"/>
      <c r="D31" s="17"/>
      <c r="E31" s="17"/>
      <c r="F31" s="17"/>
      <c r="G31" s="18">
        <f t="shared" si="1"/>
      </c>
      <c r="H31" s="7"/>
    </row>
    <row r="32" spans="1:8" x14ac:dyDescent="0.25">
      <c r="A32" s="16">
        <f>IF(25&lt;=DAY(EOMONTH(DATE(Consolidado!$E$4,Consolidado!$B$4,1),0)),DATE(Consolidado!$E$4,Consolidado!$B$4,25),"")</f>
        <v>NaN</v>
      </c>
      <c r="B32" s="7" t="str">
        <f t="shared" si="0"/>
        <v>#NUM!</v>
      </c>
      <c r="C32" s="17"/>
      <c r="D32" s="17"/>
      <c r="E32" s="17"/>
      <c r="F32" s="17"/>
      <c r="G32" s="18">
        <f t="shared" si="1"/>
      </c>
      <c r="H32" s="7"/>
    </row>
    <row r="33" spans="1:8" x14ac:dyDescent="0.25">
      <c r="A33" s="16">
        <f>IF(26&lt;=DAY(EOMONTH(DATE(Consolidado!$E$4,Consolidado!$B$4,1),0)),DATE(Consolidado!$E$4,Consolidado!$B$4,26),"")</f>
        <v>NaN</v>
      </c>
      <c r="B33" s="7" t="str">
        <f t="shared" si="0"/>
        <v>#NUM!</v>
      </c>
      <c r="C33" s="17"/>
      <c r="D33" s="17"/>
      <c r="E33" s="17"/>
      <c r="F33" s="17"/>
      <c r="G33" s="18">
        <f t="shared" si="1"/>
      </c>
      <c r="H33" s="7"/>
    </row>
    <row r="34" spans="1:8" x14ac:dyDescent="0.25">
      <c r="A34" s="16">
        <f>IF(27&lt;=DAY(EOMONTH(DATE(Consolidado!$E$4,Consolidado!$B$4,1),0)),DATE(Consolidado!$E$4,Consolidado!$B$4,27),"")</f>
        <v>NaN</v>
      </c>
      <c r="B34" s="7" t="str">
        <f t="shared" si="0"/>
        <v>#NUM!</v>
      </c>
      <c r="C34" s="17"/>
      <c r="D34" s="17"/>
      <c r="E34" s="17"/>
      <c r="F34" s="17"/>
      <c r="G34" s="18">
        <f t="shared" si="1"/>
      </c>
      <c r="H34" s="7"/>
    </row>
    <row r="35" spans="1:8" x14ac:dyDescent="0.25">
      <c r="A35" s="16">
        <f>IF(28&lt;=DAY(EOMONTH(DATE(Consolidado!$E$4,Consolidado!$B$4,1),0)),DATE(Consolidado!$E$4,Consolidado!$B$4,28),"")</f>
        <v>NaN</v>
      </c>
      <c r="B35" s="7" t="str">
        <f t="shared" si="0"/>
        <v>#NUM!</v>
      </c>
      <c r="C35" s="17"/>
      <c r="D35" s="17"/>
      <c r="E35" s="17"/>
      <c r="F35" s="17"/>
      <c r="G35" s="18">
        <f t="shared" si="1"/>
      </c>
      <c r="H35" s="7"/>
    </row>
    <row r="36" spans="1:8" x14ac:dyDescent="0.25">
      <c r="A36" s="16">
        <f>IF(29&lt;=DAY(EOMONTH(DATE(Consolidado!$E$4,Consolidado!$B$4,1),0)),DATE(Consolidado!$E$4,Consolidado!$B$4,29),"")</f>
        <v>NaN</v>
      </c>
      <c r="B36" s="7" t="str">
        <f t="shared" si="0"/>
        <v>#NUM!</v>
      </c>
      <c r="C36" s="17"/>
      <c r="D36" s="17"/>
      <c r="E36" s="17"/>
      <c r="F36" s="17"/>
      <c r="G36" s="18">
        <f t="shared" si="1"/>
      </c>
      <c r="H36" s="7"/>
    </row>
    <row r="37" spans="1:8" x14ac:dyDescent="0.25">
      <c r="A37" s="16">
        <f>IF(30&lt;=DAY(EOMONTH(DATE(Consolidado!$E$4,Consolidado!$B$4,1),0)),DATE(Consolidado!$E$4,Consolidado!$B$4,30),"")</f>
        <v>NaN</v>
      </c>
      <c r="B37" s="7" t="str">
        <f t="shared" si="0"/>
        <v>#NUM!</v>
      </c>
      <c r="C37" s="17"/>
      <c r="D37" s="17"/>
      <c r="E37" s="17"/>
      <c r="F37" s="17"/>
      <c r="G37" s="18">
        <f t="shared" si="1"/>
      </c>
      <c r="H37" s="7"/>
    </row>
    <row r="38" spans="1:8" x14ac:dyDescent="0.25">
      <c r="A38" s="16">
        <f>IF(31&lt;=DAY(EOMONTH(DATE(Consolidado!$E$4,Consolidado!$B$4,1),0)),DATE(Consolidado!$E$4,Consolidado!$B$4,31),"")</f>
        <v>NaN</v>
      </c>
      <c r="B38" s="7" t="str">
        <f t="shared" si="0"/>
        <v>#NUM!</v>
      </c>
      <c r="C38" s="17"/>
      <c r="D38" s="17"/>
      <c r="E38" s="17"/>
      <c r="F38" s="17"/>
      <c r="G38" s="18">
        <f t="shared" si="1"/>
      </c>
      <c r="H38" s="7"/>
    </row>
    <row r="40" spans="1:7" x14ac:dyDescent="0.25">
      <c r="F40" s="19" t="s">
        <v>49</v>
      </c>
      <c r="G40" s="20">
        <f>SUM(G8:G38)</f>
      </c>
    </row>
    <row r="41" spans="1:7" x14ac:dyDescent="0.25">
      <c r="F41" s="21" t="s">
        <v>50</v>
      </c>
      <c r="G41" s="22">
        <f>G40*E5</f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5" width="14" customWidth="1"/>
    <col min="6" max="7" width="12" customWidth="1"/>
    <col min="8" max="8" width="24" customWidth="1"/>
  </cols>
  <sheetData>
    <row r="1" spans="1:8" x14ac:dyDescent="0.25">
      <c r="A1" s="1">
        <f>"REGISTRO DE PONTO — Bianca Franzon — SINOSBYTE — " &amp; Consolidado!$H$4 &amp; "/" &amp; Consolidado!$E$4</f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29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30</v>
      </c>
      <c r="B4" s="5" t="s">
        <v>23</v>
      </c>
      <c r="D4" s="3" t="s">
        <v>31</v>
      </c>
      <c r="E4" s="5" t="s">
        <v>24</v>
      </c>
      <c r="G4" s="3" t="s">
        <v>32</v>
      </c>
      <c r="H4" s="5" t="s">
        <v>20</v>
      </c>
    </row>
    <row r="5" spans="1:8" x14ac:dyDescent="0.25">
      <c r="A5" s="3" t="s">
        <v>33</v>
      </c>
      <c r="B5" s="5" t="s">
        <v>21</v>
      </c>
      <c r="D5" s="3" t="s">
        <v>34</v>
      </c>
      <c r="E5" s="14">
        <v>100</v>
      </c>
      <c r="G5" s="3" t="s">
        <v>35</v>
      </c>
      <c r="H5" s="5" t="str">
        <f>Consolidado!$H$4&amp;"/"&amp;Consolidado!$E$4</f>
        <v>#NUM!</v>
      </c>
    </row>
    <row r="7" spans="1:8" x14ac:dyDescent="0.25">
      <c r="A7" s="15" t="s">
        <v>36</v>
      </c>
      <c r="B7" s="15" t="s">
        <v>37</v>
      </c>
      <c r="C7" s="15" t="s">
        <v>38</v>
      </c>
      <c r="D7" s="15" t="s">
        <v>39</v>
      </c>
      <c r="E7" s="15" t="s">
        <v>40</v>
      </c>
      <c r="F7" s="15" t="s">
        <v>41</v>
      </c>
      <c r="G7" s="15" t="s">
        <v>42</v>
      </c>
      <c r="H7" s="15" t="s">
        <v>43</v>
      </c>
    </row>
    <row r="8" spans="1:8" x14ac:dyDescent="0.25">
      <c r="A8" s="16">
        <f>IF(1&lt;=DAY(EOMONTH(DATE(Consolidado!$E$4,Consolidado!$B$4,1),0)),DATE(Consolidado!$E$4,Consolidado!$B$4,1),"")</f>
        <v>NaN</v>
      </c>
      <c r="B8" s="7" t="str">
        <f t="shared" ref="B8:B38" si="0">IF(A8="","",CHOOSE(WEEKDAY(A8,2),"Segunda-feira","Terça-feira","Quarta-feira","Quinta-feira","Sexta-feira","Sábado","Domingo"))</f>
        <v>#NUM!</v>
      </c>
      <c r="C8" s="17" t="s">
        <v>44</v>
      </c>
      <c r="D8" s="17" t="s">
        <v>45</v>
      </c>
      <c r="E8" s="17" t="s">
        <v>46</v>
      </c>
      <c r="F8" s="17" t="s">
        <v>47</v>
      </c>
      <c r="G8" s="18">
        <f t="shared" ref="G8:G38" si="1">IF(OR(C8="",D8="",E8="",F8=""),"",(D8-C8)*24+(F8-E8)*24)</f>
      </c>
      <c r="H8" s="7" t="s">
        <v>48</v>
      </c>
    </row>
    <row r="9" spans="1:8" x14ac:dyDescent="0.25">
      <c r="A9" s="16">
        <f>IF(2&lt;=DAY(EOMONTH(DATE(Consolidado!$E$4,Consolidado!$B$4,1),0)),DATE(Consolidado!$E$4,Consolidado!$B$4,2),"")</f>
        <v>NaN</v>
      </c>
      <c r="B9" s="7" t="str">
        <f t="shared" si="0"/>
        <v>#NUM!</v>
      </c>
      <c r="C9" s="17" t="s">
        <v>51</v>
      </c>
      <c r="D9" s="17" t="s">
        <v>51</v>
      </c>
      <c r="E9" s="17" t="s">
        <v>46</v>
      </c>
      <c r="F9" s="17" t="s">
        <v>52</v>
      </c>
      <c r="G9" s="18">
        <f t="shared" si="1"/>
      </c>
      <c r="H9" s="7" t="s">
        <v>53</v>
      </c>
    </row>
    <row r="10" spans="1:8" x14ac:dyDescent="0.25">
      <c r="A10" s="16">
        <f>IF(3&lt;=DAY(EOMONTH(DATE(Consolidado!$E$4,Consolidado!$B$4,1),0)),DATE(Consolidado!$E$4,Consolidado!$B$4,3),"")</f>
        <v>NaN</v>
      </c>
      <c r="B10" s="7" t="str">
        <f t="shared" si="0"/>
        <v>#NUM!</v>
      </c>
      <c r="C10" s="17" t="s">
        <v>51</v>
      </c>
      <c r="D10" s="17" t="s">
        <v>51</v>
      </c>
      <c r="E10" s="17" t="s">
        <v>46</v>
      </c>
      <c r="F10" s="17" t="s">
        <v>52</v>
      </c>
      <c r="G10" s="18">
        <f t="shared" si="1"/>
      </c>
      <c r="H10" s="7" t="s">
        <v>54</v>
      </c>
    </row>
    <row r="11" spans="1:8" x14ac:dyDescent="0.25">
      <c r="A11" s="16">
        <f>IF(4&lt;=DAY(EOMONTH(DATE(Consolidado!$E$4,Consolidado!$B$4,1),0)),DATE(Consolidado!$E$4,Consolidado!$B$4,4),"")</f>
        <v>NaN</v>
      </c>
      <c r="B11" s="7" t="str">
        <f t="shared" si="0"/>
        <v>#NUM!</v>
      </c>
      <c r="C11" s="17" t="s">
        <v>44</v>
      </c>
      <c r="D11" s="17" t="s">
        <v>45</v>
      </c>
      <c r="E11" s="17" t="s">
        <v>46</v>
      </c>
      <c r="F11" s="17" t="s">
        <v>47</v>
      </c>
      <c r="G11" s="18">
        <f t="shared" si="1"/>
      </c>
      <c r="H11" s="7" t="s">
        <v>48</v>
      </c>
    </row>
    <row r="12" spans="1:8" x14ac:dyDescent="0.25">
      <c r="A12" s="16">
        <f>IF(5&lt;=DAY(EOMONTH(DATE(Consolidado!$E$4,Consolidado!$B$4,1),0)),DATE(Consolidado!$E$4,Consolidado!$B$4,5),"")</f>
        <v>NaN</v>
      </c>
      <c r="B12" s="7" t="str">
        <f t="shared" si="0"/>
        <v>#NUM!</v>
      </c>
      <c r="C12" s="17" t="s">
        <v>55</v>
      </c>
      <c r="D12" s="17" t="s">
        <v>45</v>
      </c>
      <c r="E12" s="17" t="s">
        <v>46</v>
      </c>
      <c r="F12" s="17" t="s">
        <v>56</v>
      </c>
      <c r="G12" s="18">
        <f t="shared" si="1"/>
      </c>
      <c r="H12" s="7" t="s">
        <v>57</v>
      </c>
    </row>
    <row r="13" spans="1:8" x14ac:dyDescent="0.25">
      <c r="A13" s="16">
        <f>IF(6&lt;=DAY(EOMONTH(DATE(Consolidado!$E$4,Consolidado!$B$4,1),0)),DATE(Consolidado!$E$4,Consolidado!$B$4,6),"")</f>
        <v>NaN</v>
      </c>
      <c r="B13" s="7" t="str">
        <f t="shared" si="0"/>
        <v>#NUM!</v>
      </c>
      <c r="C13" s="17"/>
      <c r="D13" s="17"/>
      <c r="E13" s="17"/>
      <c r="F13" s="17"/>
      <c r="G13" s="18">
        <f t="shared" si="1"/>
      </c>
      <c r="H13" s="7"/>
    </row>
    <row r="14" spans="1:8" x14ac:dyDescent="0.25">
      <c r="A14" s="16">
        <f>IF(7&lt;=DAY(EOMONTH(DATE(Consolidado!$E$4,Consolidado!$B$4,1),0)),DATE(Consolidado!$E$4,Consolidado!$B$4,7),"")</f>
        <v>NaN</v>
      </c>
      <c r="B14" s="7" t="str">
        <f t="shared" si="0"/>
        <v>#NUM!</v>
      </c>
      <c r="C14" s="17" t="s">
        <v>44</v>
      </c>
      <c r="D14" s="17" t="s">
        <v>45</v>
      </c>
      <c r="E14" s="17" t="s">
        <v>46</v>
      </c>
      <c r="F14" s="17" t="s">
        <v>52</v>
      </c>
      <c r="G14" s="18">
        <f t="shared" si="1"/>
      </c>
      <c r="H14" s="7" t="s">
        <v>58</v>
      </c>
    </row>
    <row r="15" spans="1:8" x14ac:dyDescent="0.25">
      <c r="A15" s="16">
        <f>IF(8&lt;=DAY(EOMONTH(DATE(Consolidado!$E$4,Consolidado!$B$4,1),0)),DATE(Consolidado!$E$4,Consolidado!$B$4,8),"")</f>
        <v>NaN</v>
      </c>
      <c r="B15" s="7" t="str">
        <f t="shared" si="0"/>
        <v>#NUM!</v>
      </c>
      <c r="C15" s="17" t="s">
        <v>59</v>
      </c>
      <c r="D15" s="17" t="s">
        <v>45</v>
      </c>
      <c r="E15" s="17" t="s">
        <v>46</v>
      </c>
      <c r="F15" s="17" t="s">
        <v>52</v>
      </c>
      <c r="G15" s="18">
        <f t="shared" si="1"/>
      </c>
      <c r="H15" s="7" t="s">
        <v>54</v>
      </c>
    </row>
    <row r="16" spans="1:8" x14ac:dyDescent="0.25">
      <c r="A16" s="16">
        <f>IF(9&lt;=DAY(EOMONTH(DATE(Consolidado!$E$4,Consolidado!$B$4,1),0)),DATE(Consolidado!$E$4,Consolidado!$B$4,9),"")</f>
        <v>NaN</v>
      </c>
      <c r="B16" s="7" t="str">
        <f t="shared" si="0"/>
        <v>#NUM!</v>
      </c>
      <c r="C16" s="17" t="s">
        <v>59</v>
      </c>
      <c r="D16" s="17" t="s">
        <v>45</v>
      </c>
      <c r="E16" s="17" t="s">
        <v>46</v>
      </c>
      <c r="F16" s="17" t="s">
        <v>52</v>
      </c>
      <c r="G16" s="18">
        <f t="shared" si="1"/>
      </c>
      <c r="H16" s="7" t="s">
        <v>60</v>
      </c>
    </row>
    <row r="17" spans="1:8" x14ac:dyDescent="0.25">
      <c r="A17" s="16">
        <f>IF(10&lt;=DAY(EOMONTH(DATE(Consolidado!$E$4,Consolidado!$B$4,1),0)),DATE(Consolidado!$E$4,Consolidado!$B$4,10),"")</f>
        <v>NaN</v>
      </c>
      <c r="B17" s="7" t="str">
        <f t="shared" si="0"/>
        <v>#NUM!</v>
      </c>
      <c r="C17" s="17" t="s">
        <v>44</v>
      </c>
      <c r="D17" s="17" t="s">
        <v>45</v>
      </c>
      <c r="E17" s="17" t="s">
        <v>46</v>
      </c>
      <c r="F17" s="17" t="s">
        <v>52</v>
      </c>
      <c r="G17" s="18">
        <f t="shared" si="1"/>
      </c>
      <c r="H17" s="7" t="s">
        <v>61</v>
      </c>
    </row>
    <row r="18" spans="1:8" x14ac:dyDescent="0.25">
      <c r="A18" s="16">
        <f>IF(11&lt;=DAY(EOMONTH(DATE(Consolidado!$E$4,Consolidado!$B$4,1),0)),DATE(Consolidado!$E$4,Consolidado!$B$4,11),"")</f>
        <v>NaN</v>
      </c>
      <c r="B18" s="7" t="str">
        <f t="shared" si="0"/>
        <v>#NUM!</v>
      </c>
      <c r="C18" s="17" t="s">
        <v>59</v>
      </c>
      <c r="D18" s="17" t="s">
        <v>45</v>
      </c>
      <c r="E18" s="17" t="s">
        <v>46</v>
      </c>
      <c r="F18" s="17" t="s">
        <v>52</v>
      </c>
      <c r="G18" s="18">
        <f t="shared" si="1"/>
      </c>
      <c r="H18" s="7" t="s">
        <v>62</v>
      </c>
    </row>
    <row r="19" spans="1:8" x14ac:dyDescent="0.25">
      <c r="A19" s="16">
        <f>IF(12&lt;=DAY(EOMONTH(DATE(Consolidado!$E$4,Consolidado!$B$4,1),0)),DATE(Consolidado!$E$4,Consolidado!$B$4,12),"")</f>
        <v>NaN</v>
      </c>
      <c r="B19" s="7" t="str">
        <f t="shared" si="0"/>
        <v>#NUM!</v>
      </c>
      <c r="C19" s="17"/>
      <c r="D19" s="17"/>
      <c r="E19" s="17"/>
      <c r="F19" s="17"/>
      <c r="G19" s="18">
        <f t="shared" si="1"/>
      </c>
      <c r="H19" s="7"/>
    </row>
    <row r="20" spans="1:8" x14ac:dyDescent="0.25">
      <c r="A20" s="16">
        <f>IF(13&lt;=DAY(EOMONTH(DATE(Consolidado!$E$4,Consolidado!$B$4,1),0)),DATE(Consolidado!$E$4,Consolidado!$B$4,13),"")</f>
        <v>NaN</v>
      </c>
      <c r="B20" s="7" t="str">
        <f t="shared" si="0"/>
        <v>#NUM!</v>
      </c>
      <c r="C20" s="17"/>
      <c r="D20" s="17"/>
      <c r="E20" s="17"/>
      <c r="F20" s="17"/>
      <c r="G20" s="18">
        <f t="shared" si="1"/>
      </c>
      <c r="H20" s="7"/>
    </row>
    <row r="21" spans="1:8" x14ac:dyDescent="0.25">
      <c r="A21" s="16">
        <f>IF(14&lt;=DAY(EOMONTH(DATE(Consolidado!$E$4,Consolidado!$B$4,1),0)),DATE(Consolidado!$E$4,Consolidado!$B$4,14),"")</f>
        <v>NaN</v>
      </c>
      <c r="B21" s="7" t="str">
        <f t="shared" si="0"/>
        <v>#NUM!</v>
      </c>
      <c r="C21" s="17" t="s">
        <v>44</v>
      </c>
      <c r="D21" s="17" t="s">
        <v>45</v>
      </c>
      <c r="E21" s="17" t="s">
        <v>46</v>
      </c>
      <c r="F21" s="17" t="s">
        <v>52</v>
      </c>
      <c r="G21" s="18">
        <f t="shared" si="1"/>
      </c>
      <c r="H21" s="7" t="s">
        <v>63</v>
      </c>
    </row>
    <row r="22" spans="1:8" x14ac:dyDescent="0.25">
      <c r="A22" s="16">
        <f>IF(15&lt;=DAY(EOMONTH(DATE(Consolidado!$E$4,Consolidado!$B$4,1),0)),DATE(Consolidado!$E$4,Consolidado!$B$4,15),"")</f>
        <v>NaN</v>
      </c>
      <c r="B22" s="7" t="str">
        <f t="shared" si="0"/>
        <v>#NUM!</v>
      </c>
      <c r="C22" s="17" t="s">
        <v>59</v>
      </c>
      <c r="D22" s="17" t="s">
        <v>45</v>
      </c>
      <c r="E22" s="17" t="s">
        <v>46</v>
      </c>
      <c r="F22" s="17" t="s">
        <v>52</v>
      </c>
      <c r="G22" s="18">
        <f t="shared" si="1"/>
      </c>
      <c r="H22" s="7" t="s">
        <v>64</v>
      </c>
    </row>
    <row r="23" spans="1:8" x14ac:dyDescent="0.25">
      <c r="A23" s="16">
        <f>IF(16&lt;=DAY(EOMONTH(DATE(Consolidado!$E$4,Consolidado!$B$4,1),0)),DATE(Consolidado!$E$4,Consolidado!$B$4,16),"")</f>
        <v>NaN</v>
      </c>
      <c r="B23" s="7" t="str">
        <f t="shared" si="0"/>
        <v>#NUM!</v>
      </c>
      <c r="C23" s="17"/>
      <c r="D23" s="17"/>
      <c r="E23" s="17"/>
      <c r="F23" s="17"/>
      <c r="G23" s="18">
        <f t="shared" si="1"/>
      </c>
      <c r="H23" s="7"/>
    </row>
    <row r="24" spans="1:8" x14ac:dyDescent="0.25">
      <c r="A24" s="16">
        <f>IF(17&lt;=DAY(EOMONTH(DATE(Consolidado!$E$4,Consolidado!$B$4,1),0)),DATE(Consolidado!$E$4,Consolidado!$B$4,17),"")</f>
        <v>NaN</v>
      </c>
      <c r="B24" s="7" t="str">
        <f t="shared" si="0"/>
        <v>#NUM!</v>
      </c>
      <c r="C24" s="17"/>
      <c r="D24" s="17"/>
      <c r="E24" s="17"/>
      <c r="F24" s="17"/>
      <c r="G24" s="18">
        <f t="shared" si="1"/>
      </c>
      <c r="H24" s="7"/>
    </row>
    <row r="25" spans="1:8" x14ac:dyDescent="0.25">
      <c r="A25" s="16">
        <f>IF(18&lt;=DAY(EOMONTH(DATE(Consolidado!$E$4,Consolidado!$B$4,1),0)),DATE(Consolidado!$E$4,Consolidado!$B$4,18),"")</f>
        <v>NaN</v>
      </c>
      <c r="B25" s="7" t="str">
        <f t="shared" si="0"/>
        <v>#NUM!</v>
      </c>
      <c r="C25" s="17"/>
      <c r="D25" s="17"/>
      <c r="E25" s="17"/>
      <c r="F25" s="17"/>
      <c r="G25" s="18">
        <f t="shared" si="1"/>
      </c>
      <c r="H25" s="7"/>
    </row>
    <row r="26" spans="1:8" x14ac:dyDescent="0.25">
      <c r="A26" s="16">
        <f>IF(19&lt;=DAY(EOMONTH(DATE(Consolidado!$E$4,Consolidado!$B$4,1),0)),DATE(Consolidado!$E$4,Consolidado!$B$4,19),"")</f>
        <v>NaN</v>
      </c>
      <c r="B26" s="7" t="str">
        <f t="shared" si="0"/>
        <v>#NUM!</v>
      </c>
      <c r="C26" s="17"/>
      <c r="D26" s="17"/>
      <c r="E26" s="17"/>
      <c r="F26" s="17"/>
      <c r="G26" s="18">
        <f t="shared" si="1"/>
      </c>
      <c r="H26" s="7"/>
    </row>
    <row r="27" spans="1:8" x14ac:dyDescent="0.25">
      <c r="A27" s="16">
        <f>IF(20&lt;=DAY(EOMONTH(DATE(Consolidado!$E$4,Consolidado!$B$4,1),0)),DATE(Consolidado!$E$4,Consolidado!$B$4,20),"")</f>
        <v>NaN</v>
      </c>
      <c r="B27" s="7" t="str">
        <f t="shared" si="0"/>
        <v>#NUM!</v>
      </c>
      <c r="C27" s="17"/>
      <c r="D27" s="17"/>
      <c r="E27" s="17"/>
      <c r="F27" s="17"/>
      <c r="G27" s="18">
        <f t="shared" si="1"/>
      </c>
      <c r="H27" s="7"/>
    </row>
    <row r="28" spans="1:8" x14ac:dyDescent="0.25">
      <c r="A28" s="16">
        <f>IF(21&lt;=DAY(EOMONTH(DATE(Consolidado!$E$4,Consolidado!$B$4,1),0)),DATE(Consolidado!$E$4,Consolidado!$B$4,21),"")</f>
        <v>NaN</v>
      </c>
      <c r="B28" s="7" t="str">
        <f t="shared" si="0"/>
        <v>#NUM!</v>
      </c>
      <c r="C28" s="17"/>
      <c r="D28" s="17"/>
      <c r="E28" s="17"/>
      <c r="F28" s="17"/>
      <c r="G28" s="18">
        <f t="shared" si="1"/>
      </c>
      <c r="H28" s="7"/>
    </row>
    <row r="29" spans="1:8" x14ac:dyDescent="0.25">
      <c r="A29" s="16">
        <f>IF(22&lt;=DAY(EOMONTH(DATE(Consolidado!$E$4,Consolidado!$B$4,1),0)),DATE(Consolidado!$E$4,Consolidado!$B$4,22),"")</f>
        <v>NaN</v>
      </c>
      <c r="B29" s="7" t="str">
        <f t="shared" si="0"/>
        <v>#NUM!</v>
      </c>
      <c r="C29" s="17"/>
      <c r="D29" s="17"/>
      <c r="E29" s="17"/>
      <c r="F29" s="17"/>
      <c r="G29" s="18">
        <f t="shared" si="1"/>
      </c>
      <c r="H29" s="7"/>
    </row>
    <row r="30" spans="1:8" x14ac:dyDescent="0.25">
      <c r="A30" s="16">
        <f>IF(23&lt;=DAY(EOMONTH(DATE(Consolidado!$E$4,Consolidado!$B$4,1),0)),DATE(Consolidado!$E$4,Consolidado!$B$4,23),"")</f>
        <v>NaN</v>
      </c>
      <c r="B30" s="7" t="str">
        <f t="shared" si="0"/>
        <v>#NUM!</v>
      </c>
      <c r="C30" s="17"/>
      <c r="D30" s="17"/>
      <c r="E30" s="17"/>
      <c r="F30" s="17"/>
      <c r="G30" s="18">
        <f t="shared" si="1"/>
      </c>
      <c r="H30" s="7"/>
    </row>
    <row r="31" spans="1:8" x14ac:dyDescent="0.25">
      <c r="A31" s="16">
        <f>IF(24&lt;=DAY(EOMONTH(DATE(Consolidado!$E$4,Consolidado!$B$4,1),0)),DATE(Consolidado!$E$4,Consolidado!$B$4,24),"")</f>
        <v>NaN</v>
      </c>
      <c r="B31" s="7" t="str">
        <f t="shared" si="0"/>
        <v>#NUM!</v>
      </c>
      <c r="C31" s="17"/>
      <c r="D31" s="17"/>
      <c r="E31" s="17"/>
      <c r="F31" s="17"/>
      <c r="G31" s="18">
        <f t="shared" si="1"/>
      </c>
      <c r="H31" s="7"/>
    </row>
    <row r="32" spans="1:8" x14ac:dyDescent="0.25">
      <c r="A32" s="16">
        <f>IF(25&lt;=DAY(EOMONTH(DATE(Consolidado!$E$4,Consolidado!$B$4,1),0)),DATE(Consolidado!$E$4,Consolidado!$B$4,25),"")</f>
        <v>NaN</v>
      </c>
      <c r="B32" s="7" t="str">
        <f t="shared" si="0"/>
        <v>#NUM!</v>
      </c>
      <c r="C32" s="17"/>
      <c r="D32" s="17"/>
      <c r="E32" s="17"/>
      <c r="F32" s="17"/>
      <c r="G32" s="18">
        <f t="shared" si="1"/>
      </c>
      <c r="H32" s="7"/>
    </row>
    <row r="33" spans="1:8" x14ac:dyDescent="0.25">
      <c r="A33" s="16">
        <f>IF(26&lt;=DAY(EOMONTH(DATE(Consolidado!$E$4,Consolidado!$B$4,1),0)),DATE(Consolidado!$E$4,Consolidado!$B$4,26),"")</f>
        <v>NaN</v>
      </c>
      <c r="B33" s="7" t="str">
        <f t="shared" si="0"/>
        <v>#NUM!</v>
      </c>
      <c r="C33" s="17"/>
      <c r="D33" s="17"/>
      <c r="E33" s="17"/>
      <c r="F33" s="17"/>
      <c r="G33" s="18">
        <f t="shared" si="1"/>
      </c>
      <c r="H33" s="7"/>
    </row>
    <row r="34" spans="1:8" x14ac:dyDescent="0.25">
      <c r="A34" s="16">
        <f>IF(27&lt;=DAY(EOMONTH(DATE(Consolidado!$E$4,Consolidado!$B$4,1),0)),DATE(Consolidado!$E$4,Consolidado!$B$4,27),"")</f>
        <v>NaN</v>
      </c>
      <c r="B34" s="7" t="str">
        <f t="shared" si="0"/>
        <v>#NUM!</v>
      </c>
      <c r="C34" s="17"/>
      <c r="D34" s="17"/>
      <c r="E34" s="17"/>
      <c r="F34" s="17"/>
      <c r="G34" s="18">
        <f t="shared" si="1"/>
      </c>
      <c r="H34" s="7"/>
    </row>
    <row r="35" spans="1:8" x14ac:dyDescent="0.25">
      <c r="A35" s="16">
        <f>IF(28&lt;=DAY(EOMONTH(DATE(Consolidado!$E$4,Consolidado!$B$4,1),0)),DATE(Consolidado!$E$4,Consolidado!$B$4,28),"")</f>
        <v>NaN</v>
      </c>
      <c r="B35" s="7" t="str">
        <f t="shared" si="0"/>
        <v>#NUM!</v>
      </c>
      <c r="C35" s="17"/>
      <c r="D35" s="17"/>
      <c r="E35" s="17"/>
      <c r="F35" s="17"/>
      <c r="G35" s="18">
        <f t="shared" si="1"/>
      </c>
      <c r="H35" s="7"/>
    </row>
    <row r="36" spans="1:8" x14ac:dyDescent="0.25">
      <c r="A36" s="16">
        <f>IF(29&lt;=DAY(EOMONTH(DATE(Consolidado!$E$4,Consolidado!$B$4,1),0)),DATE(Consolidado!$E$4,Consolidado!$B$4,29),"")</f>
        <v>NaN</v>
      </c>
      <c r="B36" s="7" t="str">
        <f t="shared" si="0"/>
        <v>#NUM!</v>
      </c>
      <c r="C36" s="17"/>
      <c r="D36" s="17"/>
      <c r="E36" s="17"/>
      <c r="F36" s="17"/>
      <c r="G36" s="18">
        <f t="shared" si="1"/>
      </c>
      <c r="H36" s="7"/>
    </row>
    <row r="37" spans="1:8" x14ac:dyDescent="0.25">
      <c r="A37" s="16">
        <f>IF(30&lt;=DAY(EOMONTH(DATE(Consolidado!$E$4,Consolidado!$B$4,1),0)),DATE(Consolidado!$E$4,Consolidado!$B$4,30),"")</f>
        <v>NaN</v>
      </c>
      <c r="B37" s="7" t="str">
        <f t="shared" si="0"/>
        <v>#NUM!</v>
      </c>
      <c r="C37" s="17"/>
      <c r="D37" s="17"/>
      <c r="E37" s="17"/>
      <c r="F37" s="17"/>
      <c r="G37" s="18">
        <f t="shared" si="1"/>
      </c>
      <c r="H37" s="7"/>
    </row>
    <row r="38" spans="1:8" x14ac:dyDescent="0.25">
      <c r="A38" s="16">
        <f>IF(31&lt;=DAY(EOMONTH(DATE(Consolidado!$E$4,Consolidado!$B$4,1),0)),DATE(Consolidado!$E$4,Consolidado!$B$4,31),"")</f>
        <v>NaN</v>
      </c>
      <c r="B38" s="7" t="str">
        <f t="shared" si="0"/>
        <v>#NUM!</v>
      </c>
      <c r="C38" s="17"/>
      <c r="D38" s="17"/>
      <c r="E38" s="17"/>
      <c r="F38" s="17"/>
      <c r="G38" s="18">
        <f t="shared" si="1"/>
      </c>
      <c r="H38" s="7"/>
    </row>
    <row r="40" spans="1:7" x14ac:dyDescent="0.25">
      <c r="F40" s="19" t="s">
        <v>49</v>
      </c>
      <c r="G40" s="20">
        <f>SUM(G8:G38)</f>
      </c>
    </row>
    <row r="41" spans="1:7" x14ac:dyDescent="0.25">
      <c r="F41" s="21" t="s">
        <v>50</v>
      </c>
      <c r="G41" s="22">
        <f>G40*E5</f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5" width="14" customWidth="1"/>
    <col min="6" max="7" width="12" customWidth="1"/>
    <col min="8" max="8" width="24" customWidth="1"/>
  </cols>
  <sheetData>
    <row r="1" spans="1:8" x14ac:dyDescent="0.25">
      <c r="A1" s="1">
        <f>"REGISTRO DE PONTO — Guilherme Fagundes — SINOSBYTE — " &amp; Consolidado!$H$4 &amp; "/" &amp; Consolidado!$E$4</f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29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30</v>
      </c>
      <c r="B4" s="5" t="s">
        <v>26</v>
      </c>
      <c r="D4" s="3" t="s">
        <v>31</v>
      </c>
      <c r="E4" s="5" t="s">
        <v>18</v>
      </c>
      <c r="G4" s="3" t="s">
        <v>32</v>
      </c>
      <c r="H4" s="5" t="s">
        <v>20</v>
      </c>
    </row>
    <row r="5" spans="1:8" x14ac:dyDescent="0.25">
      <c r="A5" s="3" t="s">
        <v>33</v>
      </c>
      <c r="B5" s="5" t="s">
        <v>21</v>
      </c>
      <c r="D5" s="3" t="s">
        <v>34</v>
      </c>
      <c r="E5" s="14">
        <v>110</v>
      </c>
      <c r="G5" s="3" t="s">
        <v>35</v>
      </c>
      <c r="H5" s="5" t="str">
        <f>Consolidado!$H$4&amp;"/"&amp;Consolidado!$E$4</f>
        <v>#NUM!</v>
      </c>
    </row>
    <row r="7" spans="1:8" x14ac:dyDescent="0.25">
      <c r="A7" s="15" t="s">
        <v>36</v>
      </c>
      <c r="B7" s="15" t="s">
        <v>37</v>
      </c>
      <c r="C7" s="15" t="s">
        <v>38</v>
      </c>
      <c r="D7" s="15" t="s">
        <v>39</v>
      </c>
      <c r="E7" s="15" t="s">
        <v>40</v>
      </c>
      <c r="F7" s="15" t="s">
        <v>41</v>
      </c>
      <c r="G7" s="15" t="s">
        <v>42</v>
      </c>
      <c r="H7" s="15" t="s">
        <v>43</v>
      </c>
    </row>
    <row r="8" spans="1:8" x14ac:dyDescent="0.25">
      <c r="A8" s="16">
        <f>IF(1&lt;=DAY(EOMONTH(DATE(Consolidado!$E$4,Consolidado!$B$4,1),0)),DATE(Consolidado!$E$4,Consolidado!$B$4,1),"")</f>
        <v>NaN</v>
      </c>
      <c r="B8" s="7" t="str">
        <f t="shared" ref="B8:B38" si="0">IF(A8="","",CHOOSE(WEEKDAY(A8,2),"Segunda-feira","Terça-feira","Quarta-feira","Quinta-feira","Sexta-feira","Sábado","Domingo"))</f>
        <v>#NUM!</v>
      </c>
      <c r="C8" s="17" t="s">
        <v>65</v>
      </c>
      <c r="D8" s="17" t="s">
        <v>45</v>
      </c>
      <c r="E8" s="17" t="s">
        <v>46</v>
      </c>
      <c r="F8" s="17" t="s">
        <v>66</v>
      </c>
      <c r="G8" s="18">
        <f t="shared" ref="G8:G38" si="1">IF(OR(C8="",D8="",E8="",F8=""),"",(D8-C8)*24+(F8-E8)*24)</f>
      </c>
      <c r="H8" s="7" t="s">
        <v>67</v>
      </c>
    </row>
    <row r="9" spans="1:8" x14ac:dyDescent="0.25">
      <c r="A9" s="16">
        <f>IF(2&lt;=DAY(EOMONTH(DATE(Consolidado!$E$4,Consolidado!$B$4,1),0)),DATE(Consolidado!$E$4,Consolidado!$B$4,2),"")</f>
        <v>NaN</v>
      </c>
      <c r="B9" s="7" t="str">
        <f t="shared" si="0"/>
        <v>#NUM!</v>
      </c>
      <c r="C9" s="17"/>
      <c r="D9" s="17"/>
      <c r="E9" s="17"/>
      <c r="F9" s="17"/>
      <c r="G9" s="18">
        <f t="shared" si="1"/>
      </c>
      <c r="H9" s="7"/>
    </row>
    <row r="10" spans="1:8" x14ac:dyDescent="0.25">
      <c r="A10" s="16">
        <f>IF(3&lt;=DAY(EOMONTH(DATE(Consolidado!$E$4,Consolidado!$B$4,1),0)),DATE(Consolidado!$E$4,Consolidado!$B$4,3),"")</f>
        <v>NaN</v>
      </c>
      <c r="B10" s="7" t="str">
        <f t="shared" si="0"/>
        <v>#NUM!</v>
      </c>
      <c r="C10" s="17"/>
      <c r="D10" s="17"/>
      <c r="E10" s="17"/>
      <c r="F10" s="17"/>
      <c r="G10" s="18">
        <f t="shared" si="1"/>
      </c>
      <c r="H10" s="7"/>
    </row>
    <row r="11" spans="1:8" x14ac:dyDescent="0.25">
      <c r="A11" s="16">
        <f>IF(4&lt;=DAY(EOMONTH(DATE(Consolidado!$E$4,Consolidado!$B$4,1),0)),DATE(Consolidado!$E$4,Consolidado!$B$4,4),"")</f>
        <v>NaN</v>
      </c>
      <c r="B11" s="7" t="str">
        <f t="shared" si="0"/>
        <v>#NUM!</v>
      </c>
      <c r="C11" s="17" t="s">
        <v>59</v>
      </c>
      <c r="D11" s="17" t="s">
        <v>45</v>
      </c>
      <c r="E11" s="17" t="s">
        <v>46</v>
      </c>
      <c r="F11" s="17" t="s">
        <v>68</v>
      </c>
      <c r="G11" s="18">
        <f t="shared" si="1"/>
      </c>
      <c r="H11" s="7" t="s">
        <v>67</v>
      </c>
    </row>
    <row r="12" spans="1:8" x14ac:dyDescent="0.25">
      <c r="A12" s="16">
        <f>IF(5&lt;=DAY(EOMONTH(DATE(Consolidado!$E$4,Consolidado!$B$4,1),0)),DATE(Consolidado!$E$4,Consolidado!$B$4,5),"")</f>
        <v>NaN</v>
      </c>
      <c r="B12" s="7" t="str">
        <f t="shared" si="0"/>
        <v>#NUM!</v>
      </c>
      <c r="C12" s="17" t="s">
        <v>65</v>
      </c>
      <c r="D12" s="17" t="s">
        <v>45</v>
      </c>
      <c r="E12" s="17" t="s">
        <v>46</v>
      </c>
      <c r="F12" s="17" t="s">
        <v>69</v>
      </c>
      <c r="G12" s="18">
        <f t="shared" si="1"/>
      </c>
      <c r="H12" s="7" t="s">
        <v>67</v>
      </c>
    </row>
    <row r="13" spans="1:8" x14ac:dyDescent="0.25">
      <c r="A13" s="16">
        <f>IF(6&lt;=DAY(EOMONTH(DATE(Consolidado!$E$4,Consolidado!$B$4,1),0)),DATE(Consolidado!$E$4,Consolidado!$B$4,6),"")</f>
        <v>NaN</v>
      </c>
      <c r="B13" s="7" t="str">
        <f t="shared" si="0"/>
        <v>#NUM!</v>
      </c>
      <c r="C13" s="17" t="s">
        <v>59</v>
      </c>
      <c r="D13" s="17" t="s">
        <v>45</v>
      </c>
      <c r="E13" s="17" t="s">
        <v>46</v>
      </c>
      <c r="F13" s="17" t="s">
        <v>68</v>
      </c>
      <c r="G13" s="18">
        <f t="shared" si="1"/>
      </c>
      <c r="H13" s="7" t="s">
        <v>67</v>
      </c>
    </row>
    <row r="14" spans="1:8" x14ac:dyDescent="0.25">
      <c r="A14" s="16">
        <f>IF(7&lt;=DAY(EOMONTH(DATE(Consolidado!$E$4,Consolidado!$B$4,1),0)),DATE(Consolidado!$E$4,Consolidado!$B$4,7),"")</f>
        <v>NaN</v>
      </c>
      <c r="B14" s="7" t="str">
        <f t="shared" si="0"/>
        <v>#NUM!</v>
      </c>
      <c r="C14" s="17" t="s">
        <v>59</v>
      </c>
      <c r="D14" s="17" t="s">
        <v>45</v>
      </c>
      <c r="E14" s="17" t="s">
        <v>46</v>
      </c>
      <c r="F14" s="17" t="s">
        <v>66</v>
      </c>
      <c r="G14" s="18">
        <f t="shared" si="1"/>
      </c>
      <c r="H14" s="7" t="s">
        <v>67</v>
      </c>
    </row>
    <row r="15" spans="1:8" x14ac:dyDescent="0.25">
      <c r="A15" s="16">
        <f>IF(8&lt;=DAY(EOMONTH(DATE(Consolidado!$E$4,Consolidado!$B$4,1),0)),DATE(Consolidado!$E$4,Consolidado!$B$4,8),"")</f>
        <v>NaN</v>
      </c>
      <c r="B15" s="7" t="str">
        <f t="shared" si="0"/>
        <v>#NUM!</v>
      </c>
      <c r="C15" s="17" t="s">
        <v>65</v>
      </c>
      <c r="D15" s="17" t="s">
        <v>45</v>
      </c>
      <c r="E15" s="17" t="s">
        <v>46</v>
      </c>
      <c r="F15" s="17" t="s">
        <v>66</v>
      </c>
      <c r="G15" s="18">
        <f t="shared" si="1"/>
      </c>
      <c r="H15" s="7" t="s">
        <v>67</v>
      </c>
    </row>
    <row r="16" spans="1:8" x14ac:dyDescent="0.25">
      <c r="A16" s="16">
        <f>IF(9&lt;=DAY(EOMONTH(DATE(Consolidado!$E$4,Consolidado!$B$4,1),0)),DATE(Consolidado!$E$4,Consolidado!$B$4,9),"")</f>
        <v>NaN</v>
      </c>
      <c r="B16" s="7" t="str">
        <f t="shared" si="0"/>
        <v>#NUM!</v>
      </c>
      <c r="C16" s="17"/>
      <c r="D16" s="17"/>
      <c r="E16" s="17"/>
      <c r="F16" s="17"/>
      <c r="G16" s="18">
        <f t="shared" si="1"/>
      </c>
      <c r="H16" s="7"/>
    </row>
    <row r="17" spans="1:8" x14ac:dyDescent="0.25">
      <c r="A17" s="16">
        <f>IF(10&lt;=DAY(EOMONTH(DATE(Consolidado!$E$4,Consolidado!$B$4,1),0)),DATE(Consolidado!$E$4,Consolidado!$B$4,10),"")</f>
        <v>NaN</v>
      </c>
      <c r="B17" s="7" t="str">
        <f t="shared" si="0"/>
        <v>#NUM!</v>
      </c>
      <c r="C17" s="17"/>
      <c r="D17" s="17"/>
      <c r="E17" s="17"/>
      <c r="F17" s="17"/>
      <c r="G17" s="18">
        <f t="shared" si="1"/>
      </c>
      <c r="H17" s="7"/>
    </row>
    <row r="18" spans="1:8" x14ac:dyDescent="0.25">
      <c r="A18" s="16">
        <f>IF(11&lt;=DAY(EOMONTH(DATE(Consolidado!$E$4,Consolidado!$B$4,1),0)),DATE(Consolidado!$E$4,Consolidado!$B$4,11),"")</f>
        <v>NaN</v>
      </c>
      <c r="B18" s="7" t="str">
        <f t="shared" si="0"/>
        <v>#NUM!</v>
      </c>
      <c r="C18" s="17" t="s">
        <v>59</v>
      </c>
      <c r="D18" s="17" t="s">
        <v>45</v>
      </c>
      <c r="E18" s="17" t="s">
        <v>46</v>
      </c>
      <c r="F18" s="17" t="s">
        <v>68</v>
      </c>
      <c r="G18" s="18">
        <f t="shared" si="1"/>
      </c>
      <c r="H18" s="7" t="s">
        <v>67</v>
      </c>
    </row>
    <row r="19" spans="1:8" x14ac:dyDescent="0.25">
      <c r="A19" s="16">
        <f>IF(12&lt;=DAY(EOMONTH(DATE(Consolidado!$E$4,Consolidado!$B$4,1),0)),DATE(Consolidado!$E$4,Consolidado!$B$4,12),"")</f>
        <v>NaN</v>
      </c>
      <c r="B19" s="7" t="str">
        <f t="shared" si="0"/>
        <v>#NUM!</v>
      </c>
      <c r="C19" s="17" t="s">
        <v>59</v>
      </c>
      <c r="D19" s="17" t="s">
        <v>45</v>
      </c>
      <c r="E19" s="17" t="s">
        <v>46</v>
      </c>
      <c r="F19" s="17" t="s">
        <v>66</v>
      </c>
      <c r="G19" s="18">
        <f t="shared" si="1"/>
      </c>
      <c r="H19" s="7" t="s">
        <v>67</v>
      </c>
    </row>
    <row r="20" spans="1:8" x14ac:dyDescent="0.25">
      <c r="A20" s="16">
        <f>IF(13&lt;=DAY(EOMONTH(DATE(Consolidado!$E$4,Consolidado!$B$4,1),0)),DATE(Consolidado!$E$4,Consolidado!$B$4,13),"")</f>
        <v>NaN</v>
      </c>
      <c r="B20" s="7" t="str">
        <f t="shared" si="0"/>
        <v>#NUM!</v>
      </c>
      <c r="C20" s="17" t="s">
        <v>65</v>
      </c>
      <c r="D20" s="17" t="s">
        <v>45</v>
      </c>
      <c r="E20" s="17" t="s">
        <v>46</v>
      </c>
      <c r="F20" s="17" t="s">
        <v>69</v>
      </c>
      <c r="G20" s="18">
        <f t="shared" si="1"/>
      </c>
      <c r="H20" s="7" t="s">
        <v>67</v>
      </c>
    </row>
    <row r="21" spans="1:8" x14ac:dyDescent="0.25">
      <c r="A21" s="16">
        <f>IF(14&lt;=DAY(EOMONTH(DATE(Consolidado!$E$4,Consolidado!$B$4,1),0)),DATE(Consolidado!$E$4,Consolidado!$B$4,14),"")</f>
        <v>NaN</v>
      </c>
      <c r="B21" s="7" t="str">
        <f t="shared" si="0"/>
        <v>#NUM!</v>
      </c>
      <c r="C21" s="17" t="s">
        <v>65</v>
      </c>
      <c r="D21" s="17" t="s">
        <v>45</v>
      </c>
      <c r="E21" s="17" t="s">
        <v>46</v>
      </c>
      <c r="F21" s="17" t="s">
        <v>68</v>
      </c>
      <c r="G21" s="18">
        <f t="shared" si="1"/>
      </c>
      <c r="H21" s="7" t="s">
        <v>67</v>
      </c>
    </row>
    <row r="22" spans="1:8" x14ac:dyDescent="0.25">
      <c r="A22" s="16">
        <f>IF(15&lt;=DAY(EOMONTH(DATE(Consolidado!$E$4,Consolidado!$B$4,1),0)),DATE(Consolidado!$E$4,Consolidado!$B$4,15),"")</f>
        <v>NaN</v>
      </c>
      <c r="B22" s="7" t="str">
        <f t="shared" si="0"/>
        <v>#NUM!</v>
      </c>
      <c r="C22" s="17" t="s">
        <v>65</v>
      </c>
      <c r="D22" s="17" t="s">
        <v>45</v>
      </c>
      <c r="E22" s="17" t="s">
        <v>46</v>
      </c>
      <c r="F22" s="17" t="s">
        <v>68</v>
      </c>
      <c r="G22" s="18">
        <f t="shared" si="1"/>
      </c>
      <c r="H22" s="7" t="s">
        <v>67</v>
      </c>
    </row>
    <row r="23" spans="1:8" x14ac:dyDescent="0.25">
      <c r="A23" s="16">
        <f>IF(16&lt;=DAY(EOMONTH(DATE(Consolidado!$E$4,Consolidado!$B$4,1),0)),DATE(Consolidado!$E$4,Consolidado!$B$4,16),"")</f>
        <v>NaN</v>
      </c>
      <c r="B23" s="7" t="str">
        <f t="shared" si="0"/>
        <v>#NUM!</v>
      </c>
      <c r="C23" s="17"/>
      <c r="D23" s="17"/>
      <c r="E23" s="17"/>
      <c r="F23" s="17"/>
      <c r="G23" s="18">
        <f t="shared" si="1"/>
      </c>
      <c r="H23" s="7"/>
    </row>
    <row r="24" spans="1:8" x14ac:dyDescent="0.25">
      <c r="A24" s="16">
        <f>IF(17&lt;=DAY(EOMONTH(DATE(Consolidado!$E$4,Consolidado!$B$4,1),0)),DATE(Consolidado!$E$4,Consolidado!$B$4,17),"")</f>
        <v>NaN</v>
      </c>
      <c r="B24" s="7" t="str">
        <f t="shared" si="0"/>
        <v>#NUM!</v>
      </c>
      <c r="C24" s="17"/>
      <c r="D24" s="17"/>
      <c r="E24" s="17"/>
      <c r="F24" s="17"/>
      <c r="G24" s="18">
        <f t="shared" si="1"/>
      </c>
      <c r="H24" s="7"/>
    </row>
    <row r="25" spans="1:8" x14ac:dyDescent="0.25">
      <c r="A25" s="16">
        <f>IF(18&lt;=DAY(EOMONTH(DATE(Consolidado!$E$4,Consolidado!$B$4,1),0)),DATE(Consolidado!$E$4,Consolidado!$B$4,18),"")</f>
        <v>NaN</v>
      </c>
      <c r="B25" s="7" t="str">
        <f t="shared" si="0"/>
        <v>#NUM!</v>
      </c>
      <c r="C25" s="17"/>
      <c r="D25" s="17"/>
      <c r="E25" s="17"/>
      <c r="F25" s="17"/>
      <c r="G25" s="18">
        <f t="shared" si="1"/>
      </c>
      <c r="H25" s="7"/>
    </row>
    <row r="26" spans="1:8" x14ac:dyDescent="0.25">
      <c r="A26" s="16">
        <f>IF(19&lt;=DAY(EOMONTH(DATE(Consolidado!$E$4,Consolidado!$B$4,1),0)),DATE(Consolidado!$E$4,Consolidado!$B$4,19),"")</f>
        <v>NaN</v>
      </c>
      <c r="B26" s="7" t="str">
        <f t="shared" si="0"/>
        <v>#NUM!</v>
      </c>
      <c r="C26" s="17"/>
      <c r="D26" s="17"/>
      <c r="E26" s="17"/>
      <c r="F26" s="17"/>
      <c r="G26" s="18">
        <f t="shared" si="1"/>
      </c>
      <c r="H26" s="7"/>
    </row>
    <row r="27" spans="1:8" x14ac:dyDescent="0.25">
      <c r="A27" s="16">
        <f>IF(20&lt;=DAY(EOMONTH(DATE(Consolidado!$E$4,Consolidado!$B$4,1),0)),DATE(Consolidado!$E$4,Consolidado!$B$4,20),"")</f>
        <v>NaN</v>
      </c>
      <c r="B27" s="7" t="str">
        <f t="shared" si="0"/>
        <v>#NUM!</v>
      </c>
      <c r="C27" s="17"/>
      <c r="D27" s="17"/>
      <c r="E27" s="17"/>
      <c r="F27" s="17"/>
      <c r="G27" s="18">
        <f t="shared" si="1"/>
      </c>
      <c r="H27" s="7"/>
    </row>
    <row r="28" spans="1:8" x14ac:dyDescent="0.25">
      <c r="A28" s="16">
        <f>IF(21&lt;=DAY(EOMONTH(DATE(Consolidado!$E$4,Consolidado!$B$4,1),0)),DATE(Consolidado!$E$4,Consolidado!$B$4,21),"")</f>
        <v>NaN</v>
      </c>
      <c r="B28" s="7" t="str">
        <f t="shared" si="0"/>
        <v>#NUM!</v>
      </c>
      <c r="C28" s="17"/>
      <c r="D28" s="17"/>
      <c r="E28" s="17"/>
      <c r="F28" s="17"/>
      <c r="G28" s="18">
        <f t="shared" si="1"/>
      </c>
      <c r="H28" s="7"/>
    </row>
    <row r="29" spans="1:8" x14ac:dyDescent="0.25">
      <c r="A29" s="16">
        <f>IF(22&lt;=DAY(EOMONTH(DATE(Consolidado!$E$4,Consolidado!$B$4,1),0)),DATE(Consolidado!$E$4,Consolidado!$B$4,22),"")</f>
        <v>NaN</v>
      </c>
      <c r="B29" s="7" t="str">
        <f t="shared" si="0"/>
        <v>#NUM!</v>
      </c>
      <c r="C29" s="17"/>
      <c r="D29" s="17"/>
      <c r="E29" s="17"/>
      <c r="F29" s="17"/>
      <c r="G29" s="18">
        <f t="shared" si="1"/>
      </c>
      <c r="H29" s="7"/>
    </row>
    <row r="30" spans="1:8" x14ac:dyDescent="0.25">
      <c r="A30" s="16">
        <f>IF(23&lt;=DAY(EOMONTH(DATE(Consolidado!$E$4,Consolidado!$B$4,1),0)),DATE(Consolidado!$E$4,Consolidado!$B$4,23),"")</f>
        <v>NaN</v>
      </c>
      <c r="B30" s="7" t="str">
        <f t="shared" si="0"/>
        <v>#NUM!</v>
      </c>
      <c r="C30" s="17"/>
      <c r="D30" s="17"/>
      <c r="E30" s="17"/>
      <c r="F30" s="17"/>
      <c r="G30" s="18">
        <f t="shared" si="1"/>
      </c>
      <c r="H30" s="7"/>
    </row>
    <row r="31" spans="1:8" x14ac:dyDescent="0.25">
      <c r="A31" s="16">
        <f>IF(24&lt;=DAY(EOMONTH(DATE(Consolidado!$E$4,Consolidado!$B$4,1),0)),DATE(Consolidado!$E$4,Consolidado!$B$4,24),"")</f>
        <v>NaN</v>
      </c>
      <c r="B31" s="7" t="str">
        <f t="shared" si="0"/>
        <v>#NUM!</v>
      </c>
      <c r="C31" s="17"/>
      <c r="D31" s="17"/>
      <c r="E31" s="17"/>
      <c r="F31" s="17"/>
      <c r="G31" s="18">
        <f t="shared" si="1"/>
      </c>
      <c r="H31" s="7"/>
    </row>
    <row r="32" spans="1:8" x14ac:dyDescent="0.25">
      <c r="A32" s="16">
        <f>IF(25&lt;=DAY(EOMONTH(DATE(Consolidado!$E$4,Consolidado!$B$4,1),0)),DATE(Consolidado!$E$4,Consolidado!$B$4,25),"")</f>
        <v>NaN</v>
      </c>
      <c r="B32" s="7" t="str">
        <f t="shared" si="0"/>
        <v>#NUM!</v>
      </c>
      <c r="C32" s="17"/>
      <c r="D32" s="17"/>
      <c r="E32" s="17"/>
      <c r="F32" s="17"/>
      <c r="G32" s="18">
        <f t="shared" si="1"/>
      </c>
      <c r="H32" s="7"/>
    </row>
    <row r="33" spans="1:8" x14ac:dyDescent="0.25">
      <c r="A33" s="16">
        <f>IF(26&lt;=DAY(EOMONTH(DATE(Consolidado!$E$4,Consolidado!$B$4,1),0)),DATE(Consolidado!$E$4,Consolidado!$B$4,26),"")</f>
        <v>NaN</v>
      </c>
      <c r="B33" s="7" t="str">
        <f t="shared" si="0"/>
        <v>#NUM!</v>
      </c>
      <c r="C33" s="17"/>
      <c r="D33" s="17"/>
      <c r="E33" s="17"/>
      <c r="F33" s="17"/>
      <c r="G33" s="18">
        <f t="shared" si="1"/>
      </c>
      <c r="H33" s="7"/>
    </row>
    <row r="34" spans="1:8" x14ac:dyDescent="0.25">
      <c r="A34" s="16">
        <f>IF(27&lt;=DAY(EOMONTH(DATE(Consolidado!$E$4,Consolidado!$B$4,1),0)),DATE(Consolidado!$E$4,Consolidado!$B$4,27),"")</f>
        <v>NaN</v>
      </c>
      <c r="B34" s="7" t="str">
        <f t="shared" si="0"/>
        <v>#NUM!</v>
      </c>
      <c r="C34" s="17"/>
      <c r="D34" s="17"/>
      <c r="E34" s="17"/>
      <c r="F34" s="17"/>
      <c r="G34" s="18">
        <f t="shared" si="1"/>
      </c>
      <c r="H34" s="7"/>
    </row>
    <row r="35" spans="1:8" x14ac:dyDescent="0.25">
      <c r="A35" s="16">
        <f>IF(28&lt;=DAY(EOMONTH(DATE(Consolidado!$E$4,Consolidado!$B$4,1),0)),DATE(Consolidado!$E$4,Consolidado!$B$4,28),"")</f>
        <v>NaN</v>
      </c>
      <c r="B35" s="7" t="str">
        <f t="shared" si="0"/>
        <v>#NUM!</v>
      </c>
      <c r="C35" s="17"/>
      <c r="D35" s="17"/>
      <c r="E35" s="17"/>
      <c r="F35" s="17"/>
      <c r="G35" s="18">
        <f t="shared" si="1"/>
      </c>
      <c r="H35" s="7"/>
    </row>
    <row r="36" spans="1:8" x14ac:dyDescent="0.25">
      <c r="A36" s="16">
        <f>IF(29&lt;=DAY(EOMONTH(DATE(Consolidado!$E$4,Consolidado!$B$4,1),0)),DATE(Consolidado!$E$4,Consolidado!$B$4,29),"")</f>
        <v>NaN</v>
      </c>
      <c r="B36" s="7" t="str">
        <f t="shared" si="0"/>
        <v>#NUM!</v>
      </c>
      <c r="C36" s="17"/>
      <c r="D36" s="17"/>
      <c r="E36" s="17"/>
      <c r="F36" s="17"/>
      <c r="G36" s="18">
        <f t="shared" si="1"/>
      </c>
      <c r="H36" s="7"/>
    </row>
    <row r="37" spans="1:8" x14ac:dyDescent="0.25">
      <c r="A37" s="16">
        <f>IF(30&lt;=DAY(EOMONTH(DATE(Consolidado!$E$4,Consolidado!$B$4,1),0)),DATE(Consolidado!$E$4,Consolidado!$B$4,30),"")</f>
        <v>NaN</v>
      </c>
      <c r="B37" s="7" t="str">
        <f t="shared" si="0"/>
        <v>#NUM!</v>
      </c>
      <c r="C37" s="17"/>
      <c r="D37" s="17"/>
      <c r="E37" s="17"/>
      <c r="F37" s="17"/>
      <c r="G37" s="18">
        <f t="shared" si="1"/>
      </c>
      <c r="H37" s="7"/>
    </row>
    <row r="38" spans="1:8" x14ac:dyDescent="0.25">
      <c r="A38" s="16">
        <f>IF(31&lt;=DAY(EOMONTH(DATE(Consolidado!$E$4,Consolidado!$B$4,1),0)),DATE(Consolidado!$E$4,Consolidado!$B$4,31),"")</f>
        <v>NaN</v>
      </c>
      <c r="B38" s="7" t="str">
        <f t="shared" si="0"/>
        <v>#NUM!</v>
      </c>
      <c r="C38" s="17"/>
      <c r="D38" s="17"/>
      <c r="E38" s="17"/>
      <c r="F38" s="17"/>
      <c r="G38" s="18">
        <f t="shared" si="1"/>
      </c>
      <c r="H38" s="7"/>
    </row>
    <row r="40" spans="1:7" x14ac:dyDescent="0.25">
      <c r="F40" s="19" t="s">
        <v>49</v>
      </c>
      <c r="G40" s="20">
        <f>SUM(G8:G38)</f>
      </c>
    </row>
    <row r="41" spans="1:7" x14ac:dyDescent="0.25">
      <c r="F41" s="21" t="s">
        <v>50</v>
      </c>
      <c r="G41" s="22">
        <f>G40*E5</f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5" width="14" customWidth="1"/>
    <col min="6" max="7" width="12" customWidth="1"/>
    <col min="8" max="8" width="24" customWidth="1"/>
  </cols>
  <sheetData>
    <row r="1" spans="1:8" x14ac:dyDescent="0.25">
      <c r="A1" s="1">
        <f>"REGISTRO DE PONTO — Joszef Barrionuevo — SINOSBYTE — " &amp; Consolidado!$H$4 &amp; "/" &amp; Consolidado!$E$4</f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29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30</v>
      </c>
      <c r="B4" s="5" t="s">
        <v>27</v>
      </c>
      <c r="D4" s="3" t="s">
        <v>31</v>
      </c>
      <c r="E4" s="5" t="s">
        <v>18</v>
      </c>
      <c r="G4" s="3" t="s">
        <v>32</v>
      </c>
      <c r="H4" s="5" t="s">
        <v>20</v>
      </c>
    </row>
    <row r="5" spans="1:8" x14ac:dyDescent="0.25">
      <c r="A5" s="3" t="s">
        <v>33</v>
      </c>
      <c r="B5" s="5" t="s">
        <v>21</v>
      </c>
      <c r="D5" s="3" t="s">
        <v>34</v>
      </c>
      <c r="E5" s="14">
        <v>140</v>
      </c>
      <c r="G5" s="3" t="s">
        <v>35</v>
      </c>
      <c r="H5" s="5" t="str">
        <f>Consolidado!$H$4&amp;"/"&amp;Consolidado!$E$4</f>
        <v>#NUM!</v>
      </c>
    </row>
    <row r="7" spans="1:8" x14ac:dyDescent="0.25">
      <c r="A7" s="15" t="s">
        <v>36</v>
      </c>
      <c r="B7" s="15" t="s">
        <v>37</v>
      </c>
      <c r="C7" s="15" t="s">
        <v>38</v>
      </c>
      <c r="D7" s="15" t="s">
        <v>39</v>
      </c>
      <c r="E7" s="15" t="s">
        <v>40</v>
      </c>
      <c r="F7" s="15" t="s">
        <v>41</v>
      </c>
      <c r="G7" s="15" t="s">
        <v>42</v>
      </c>
      <c r="H7" s="15" t="s">
        <v>43</v>
      </c>
    </row>
    <row r="8" spans="1:8" x14ac:dyDescent="0.25">
      <c r="A8" s="16">
        <f>IF(1&lt;=DAY(EOMONTH(DATE(Consolidado!$E$4,Consolidado!$B$4,1),0)),DATE(Consolidado!$E$4,Consolidado!$B$4,1),"")</f>
        <v>NaN</v>
      </c>
      <c r="B8" s="7" t="str">
        <f t="shared" ref="B8:B38" si="0">IF(A8="","",CHOOSE(WEEKDAY(A8,2),"Segunda-feira","Terça-feira","Quarta-feira","Quinta-feira","Sexta-feira","Sábado","Domingo"))</f>
        <v>#NUM!</v>
      </c>
      <c r="C8" s="17" t="s">
        <v>65</v>
      </c>
      <c r="D8" s="17" t="s">
        <v>45</v>
      </c>
      <c r="E8" s="17" t="s">
        <v>46</v>
      </c>
      <c r="F8" s="17" t="s">
        <v>70</v>
      </c>
      <c r="G8" s="18">
        <f t="shared" ref="G8:G38" si="1">IF(OR(C8="",D8="",E8="",F8=""),"",(D8-C8)*24+(F8-E8)*24)</f>
      </c>
      <c r="H8" s="7" t="s">
        <v>67</v>
      </c>
    </row>
    <row r="9" spans="1:8" x14ac:dyDescent="0.25">
      <c r="A9" s="16">
        <f>IF(2&lt;=DAY(EOMONTH(DATE(Consolidado!$E$4,Consolidado!$B$4,1),0)),DATE(Consolidado!$E$4,Consolidado!$B$4,2),"")</f>
        <v>NaN</v>
      </c>
      <c r="B9" s="7" t="str">
        <f t="shared" si="0"/>
        <v>#NUM!</v>
      </c>
      <c r="C9" s="17"/>
      <c r="D9" s="17"/>
      <c r="E9" s="17"/>
      <c r="F9" s="17"/>
      <c r="G9" s="18">
        <f t="shared" si="1"/>
      </c>
      <c r="H9" s="7"/>
    </row>
    <row r="10" spans="1:8" x14ac:dyDescent="0.25">
      <c r="A10" s="16">
        <f>IF(3&lt;=DAY(EOMONTH(DATE(Consolidado!$E$4,Consolidado!$B$4,1),0)),DATE(Consolidado!$E$4,Consolidado!$B$4,3),"")</f>
        <v>NaN</v>
      </c>
      <c r="B10" s="7" t="str">
        <f t="shared" si="0"/>
        <v>#NUM!</v>
      </c>
      <c r="C10" s="17" t="s">
        <v>44</v>
      </c>
      <c r="D10" s="17" t="s">
        <v>45</v>
      </c>
      <c r="E10" s="17" t="s">
        <v>46</v>
      </c>
      <c r="F10" s="17" t="s">
        <v>68</v>
      </c>
      <c r="G10" s="18">
        <f t="shared" si="1"/>
      </c>
      <c r="H10" s="7" t="s">
        <v>67</v>
      </c>
    </row>
    <row r="11" spans="1:8" x14ac:dyDescent="0.25">
      <c r="A11" s="16">
        <f>IF(4&lt;=DAY(EOMONTH(DATE(Consolidado!$E$4,Consolidado!$B$4,1),0)),DATE(Consolidado!$E$4,Consolidado!$B$4,4),"")</f>
        <v>NaN</v>
      </c>
      <c r="B11" s="7" t="str">
        <f t="shared" si="0"/>
        <v>#NUM!</v>
      </c>
      <c r="C11" s="17" t="s">
        <v>65</v>
      </c>
      <c r="D11" s="17" t="s">
        <v>45</v>
      </c>
      <c r="E11" s="17" t="s">
        <v>46</v>
      </c>
      <c r="F11" s="17" t="s">
        <v>70</v>
      </c>
      <c r="G11" s="18">
        <f t="shared" si="1"/>
      </c>
      <c r="H11" s="7" t="s">
        <v>67</v>
      </c>
    </row>
    <row r="12" spans="1:8" x14ac:dyDescent="0.25">
      <c r="A12" s="16">
        <f>IF(5&lt;=DAY(EOMONTH(DATE(Consolidado!$E$4,Consolidado!$B$4,1),0)),DATE(Consolidado!$E$4,Consolidado!$B$4,5),"")</f>
        <v>NaN</v>
      </c>
      <c r="B12" s="7" t="str">
        <f t="shared" si="0"/>
        <v>#NUM!</v>
      </c>
      <c r="C12" s="17" t="s">
        <v>44</v>
      </c>
      <c r="D12" s="17" t="s">
        <v>45</v>
      </c>
      <c r="E12" s="17" t="s">
        <v>46</v>
      </c>
      <c r="F12" s="17" t="s">
        <v>70</v>
      </c>
      <c r="G12" s="18">
        <f t="shared" si="1"/>
      </c>
      <c r="H12" s="7" t="s">
        <v>67</v>
      </c>
    </row>
    <row r="13" spans="1:8" x14ac:dyDescent="0.25">
      <c r="A13" s="16">
        <f>IF(6&lt;=DAY(EOMONTH(DATE(Consolidado!$E$4,Consolidado!$B$4,1),0)),DATE(Consolidado!$E$4,Consolidado!$B$4,6),"")</f>
        <v>NaN</v>
      </c>
      <c r="B13" s="7" t="str">
        <f t="shared" si="0"/>
        <v>#NUM!</v>
      </c>
      <c r="C13" s="17" t="s">
        <v>44</v>
      </c>
      <c r="D13" s="17" t="s">
        <v>45</v>
      </c>
      <c r="E13" s="17" t="s">
        <v>46</v>
      </c>
      <c r="F13" s="17" t="s">
        <v>68</v>
      </c>
      <c r="G13" s="18">
        <f t="shared" si="1"/>
      </c>
      <c r="H13" s="7" t="s">
        <v>67</v>
      </c>
    </row>
    <row r="14" spans="1:8" x14ac:dyDescent="0.25">
      <c r="A14" s="16">
        <f>IF(7&lt;=DAY(EOMONTH(DATE(Consolidado!$E$4,Consolidado!$B$4,1),0)),DATE(Consolidado!$E$4,Consolidado!$B$4,7),"")</f>
        <v>NaN</v>
      </c>
      <c r="B14" s="7" t="str">
        <f t="shared" si="0"/>
        <v>#NUM!</v>
      </c>
      <c r="C14" s="17" t="s">
        <v>65</v>
      </c>
      <c r="D14" s="17" t="s">
        <v>45</v>
      </c>
      <c r="E14" s="17" t="s">
        <v>46</v>
      </c>
      <c r="F14" s="17" t="s">
        <v>70</v>
      </c>
      <c r="G14" s="18">
        <f t="shared" si="1"/>
      </c>
      <c r="H14" s="7" t="s">
        <v>67</v>
      </c>
    </row>
    <row r="15" spans="1:8" x14ac:dyDescent="0.25">
      <c r="A15" s="16">
        <f>IF(8&lt;=DAY(EOMONTH(DATE(Consolidado!$E$4,Consolidado!$B$4,1),0)),DATE(Consolidado!$E$4,Consolidado!$B$4,8),"")</f>
        <v>NaN</v>
      </c>
      <c r="B15" s="7" t="str">
        <f t="shared" si="0"/>
        <v>#NUM!</v>
      </c>
      <c r="C15" s="17" t="s">
        <v>44</v>
      </c>
      <c r="D15" s="17" t="s">
        <v>45</v>
      </c>
      <c r="E15" s="17" t="s">
        <v>46</v>
      </c>
      <c r="F15" s="17" t="s">
        <v>68</v>
      </c>
      <c r="G15" s="18">
        <f t="shared" si="1"/>
      </c>
      <c r="H15" s="7" t="s">
        <v>67</v>
      </c>
    </row>
    <row r="16" spans="1:8" x14ac:dyDescent="0.25">
      <c r="A16" s="16">
        <f>IF(9&lt;=DAY(EOMONTH(DATE(Consolidado!$E$4,Consolidado!$B$4,1),0)),DATE(Consolidado!$E$4,Consolidado!$B$4,9),"")</f>
        <v>NaN</v>
      </c>
      <c r="B16" s="7" t="str">
        <f t="shared" si="0"/>
        <v>#NUM!</v>
      </c>
      <c r="C16" s="17"/>
      <c r="D16" s="17"/>
      <c r="E16" s="17"/>
      <c r="F16" s="17"/>
      <c r="G16" s="18">
        <f t="shared" si="1"/>
      </c>
      <c r="H16" s="7"/>
    </row>
    <row r="17" spans="1:8" x14ac:dyDescent="0.25">
      <c r="A17" s="16">
        <f>IF(10&lt;=DAY(EOMONTH(DATE(Consolidado!$E$4,Consolidado!$B$4,1),0)),DATE(Consolidado!$E$4,Consolidado!$B$4,10),"")</f>
        <v>NaN</v>
      </c>
      <c r="B17" s="7" t="str">
        <f t="shared" si="0"/>
        <v>#NUM!</v>
      </c>
      <c r="C17" s="17"/>
      <c r="D17" s="17"/>
      <c r="E17" s="17"/>
      <c r="F17" s="17"/>
      <c r="G17" s="18">
        <f t="shared" si="1"/>
      </c>
      <c r="H17" s="7"/>
    </row>
    <row r="18" spans="1:8" x14ac:dyDescent="0.25">
      <c r="A18" s="16">
        <f>IF(11&lt;=DAY(EOMONTH(DATE(Consolidado!$E$4,Consolidado!$B$4,1),0)),DATE(Consolidado!$E$4,Consolidado!$B$4,11),"")</f>
        <v>NaN</v>
      </c>
      <c r="B18" s="7" t="str">
        <f t="shared" si="0"/>
        <v>#NUM!</v>
      </c>
      <c r="C18" s="17"/>
      <c r="D18" s="17"/>
      <c r="E18" s="17"/>
      <c r="F18" s="17"/>
      <c r="G18" s="18">
        <f t="shared" si="1"/>
      </c>
      <c r="H18" s="7"/>
    </row>
    <row r="19" spans="1:8" x14ac:dyDescent="0.25">
      <c r="A19" s="16">
        <f>IF(12&lt;=DAY(EOMONTH(DATE(Consolidado!$E$4,Consolidado!$B$4,1),0)),DATE(Consolidado!$E$4,Consolidado!$B$4,12),"")</f>
        <v>NaN</v>
      </c>
      <c r="B19" s="7" t="str">
        <f t="shared" si="0"/>
        <v>#NUM!</v>
      </c>
      <c r="C19" s="17" t="s">
        <v>44</v>
      </c>
      <c r="D19" s="17" t="s">
        <v>45</v>
      </c>
      <c r="E19" s="17" t="s">
        <v>46</v>
      </c>
      <c r="F19" s="17" t="s">
        <v>70</v>
      </c>
      <c r="G19" s="18">
        <f t="shared" si="1"/>
      </c>
      <c r="H19" s="7" t="s">
        <v>67</v>
      </c>
    </row>
    <row r="20" spans="1:8" x14ac:dyDescent="0.25">
      <c r="A20" s="16">
        <f>IF(13&lt;=DAY(EOMONTH(DATE(Consolidado!$E$4,Consolidado!$B$4,1),0)),DATE(Consolidado!$E$4,Consolidado!$B$4,13),"")</f>
        <v>NaN</v>
      </c>
      <c r="B20" s="7" t="str">
        <f t="shared" si="0"/>
        <v>#NUM!</v>
      </c>
      <c r="C20" s="17" t="s">
        <v>65</v>
      </c>
      <c r="D20" s="17" t="s">
        <v>45</v>
      </c>
      <c r="E20" s="17" t="s">
        <v>46</v>
      </c>
      <c r="F20" s="17" t="s">
        <v>68</v>
      </c>
      <c r="G20" s="18">
        <f t="shared" si="1"/>
      </c>
      <c r="H20" s="7" t="s">
        <v>67</v>
      </c>
    </row>
    <row r="21" spans="1:8" x14ac:dyDescent="0.25">
      <c r="A21" s="16">
        <f>IF(14&lt;=DAY(EOMONTH(DATE(Consolidado!$E$4,Consolidado!$B$4,1),0)),DATE(Consolidado!$E$4,Consolidado!$B$4,14),"")</f>
        <v>NaN</v>
      </c>
      <c r="B21" s="7" t="str">
        <f t="shared" si="0"/>
        <v>#NUM!</v>
      </c>
      <c r="C21" s="17" t="s">
        <v>44</v>
      </c>
      <c r="D21" s="17" t="s">
        <v>45</v>
      </c>
      <c r="E21" s="17" t="s">
        <v>46</v>
      </c>
      <c r="F21" s="17" t="s">
        <v>70</v>
      </c>
      <c r="G21" s="18">
        <f t="shared" si="1"/>
      </c>
      <c r="H21" s="7" t="s">
        <v>67</v>
      </c>
    </row>
    <row r="22" spans="1:8" x14ac:dyDescent="0.25">
      <c r="A22" s="16">
        <f>IF(15&lt;=DAY(EOMONTH(DATE(Consolidado!$E$4,Consolidado!$B$4,1),0)),DATE(Consolidado!$E$4,Consolidado!$B$4,15),"")</f>
        <v>NaN</v>
      </c>
      <c r="B22" s="7" t="str">
        <f t="shared" si="0"/>
        <v>#NUM!</v>
      </c>
      <c r="C22" s="17" t="s">
        <v>65</v>
      </c>
      <c r="D22" s="17" t="s">
        <v>45</v>
      </c>
      <c r="E22" s="17" t="s">
        <v>46</v>
      </c>
      <c r="F22" s="17" t="s">
        <v>68</v>
      </c>
      <c r="G22" s="18">
        <f t="shared" si="1"/>
      </c>
      <c r="H22" s="7" t="s">
        <v>67</v>
      </c>
    </row>
    <row r="23" spans="1:8" x14ac:dyDescent="0.25">
      <c r="A23" s="16">
        <f>IF(16&lt;=DAY(EOMONTH(DATE(Consolidado!$E$4,Consolidado!$B$4,1),0)),DATE(Consolidado!$E$4,Consolidado!$B$4,16),"")</f>
        <v>NaN</v>
      </c>
      <c r="B23" s="7" t="str">
        <f t="shared" si="0"/>
        <v>#NUM!</v>
      </c>
      <c r="C23" s="17"/>
      <c r="D23" s="17"/>
      <c r="E23" s="17"/>
      <c r="F23" s="17"/>
      <c r="G23" s="18">
        <f t="shared" si="1"/>
      </c>
      <c r="H23" s="7"/>
    </row>
    <row r="24" spans="1:8" x14ac:dyDescent="0.25">
      <c r="A24" s="16">
        <f>IF(17&lt;=DAY(EOMONTH(DATE(Consolidado!$E$4,Consolidado!$B$4,1),0)),DATE(Consolidado!$E$4,Consolidado!$B$4,17),"")</f>
        <v>NaN</v>
      </c>
      <c r="B24" s="7" t="str">
        <f t="shared" si="0"/>
        <v>#NUM!</v>
      </c>
      <c r="C24" s="17"/>
      <c r="D24" s="17"/>
      <c r="E24" s="17"/>
      <c r="F24" s="17"/>
      <c r="G24" s="18">
        <f t="shared" si="1"/>
      </c>
      <c r="H24" s="7"/>
    </row>
    <row r="25" spans="1:8" x14ac:dyDescent="0.25">
      <c r="A25" s="16">
        <f>IF(18&lt;=DAY(EOMONTH(DATE(Consolidado!$E$4,Consolidado!$B$4,1),0)),DATE(Consolidado!$E$4,Consolidado!$B$4,18),"")</f>
        <v>NaN</v>
      </c>
      <c r="B25" s="7" t="str">
        <f t="shared" si="0"/>
        <v>#NUM!</v>
      </c>
      <c r="C25" s="17"/>
      <c r="D25" s="17"/>
      <c r="E25" s="17"/>
      <c r="F25" s="17"/>
      <c r="G25" s="18">
        <f t="shared" si="1"/>
      </c>
      <c r="H25" s="7"/>
    </row>
    <row r="26" spans="1:8" x14ac:dyDescent="0.25">
      <c r="A26" s="16">
        <f>IF(19&lt;=DAY(EOMONTH(DATE(Consolidado!$E$4,Consolidado!$B$4,1),0)),DATE(Consolidado!$E$4,Consolidado!$B$4,19),"")</f>
        <v>NaN</v>
      </c>
      <c r="B26" s="7" t="str">
        <f t="shared" si="0"/>
        <v>#NUM!</v>
      </c>
      <c r="C26" s="17"/>
      <c r="D26" s="17"/>
      <c r="E26" s="17"/>
      <c r="F26" s="17"/>
      <c r="G26" s="18">
        <f t="shared" si="1"/>
      </c>
      <c r="H26" s="7"/>
    </row>
    <row r="27" spans="1:8" x14ac:dyDescent="0.25">
      <c r="A27" s="16">
        <f>IF(20&lt;=DAY(EOMONTH(DATE(Consolidado!$E$4,Consolidado!$B$4,1),0)),DATE(Consolidado!$E$4,Consolidado!$B$4,20),"")</f>
        <v>NaN</v>
      </c>
      <c r="B27" s="7" t="str">
        <f t="shared" si="0"/>
        <v>#NUM!</v>
      </c>
      <c r="C27" s="17"/>
      <c r="D27" s="17"/>
      <c r="E27" s="17"/>
      <c r="F27" s="17"/>
      <c r="G27" s="18">
        <f t="shared" si="1"/>
      </c>
      <c r="H27" s="7"/>
    </row>
    <row r="28" spans="1:8" x14ac:dyDescent="0.25">
      <c r="A28" s="16">
        <f>IF(21&lt;=DAY(EOMONTH(DATE(Consolidado!$E$4,Consolidado!$B$4,1),0)),DATE(Consolidado!$E$4,Consolidado!$B$4,21),"")</f>
        <v>NaN</v>
      </c>
      <c r="B28" s="7" t="str">
        <f t="shared" si="0"/>
        <v>#NUM!</v>
      </c>
      <c r="C28" s="17"/>
      <c r="D28" s="17"/>
      <c r="E28" s="17"/>
      <c r="F28" s="17"/>
      <c r="G28" s="18">
        <f t="shared" si="1"/>
      </c>
      <c r="H28" s="7"/>
    </row>
    <row r="29" spans="1:8" x14ac:dyDescent="0.25">
      <c r="A29" s="16">
        <f>IF(22&lt;=DAY(EOMONTH(DATE(Consolidado!$E$4,Consolidado!$B$4,1),0)),DATE(Consolidado!$E$4,Consolidado!$B$4,22),"")</f>
        <v>NaN</v>
      </c>
      <c r="B29" s="7" t="str">
        <f t="shared" si="0"/>
        <v>#NUM!</v>
      </c>
      <c r="C29" s="17"/>
      <c r="D29" s="17"/>
      <c r="E29" s="17"/>
      <c r="F29" s="17"/>
      <c r="G29" s="18">
        <f t="shared" si="1"/>
      </c>
      <c r="H29" s="7"/>
    </row>
    <row r="30" spans="1:8" x14ac:dyDescent="0.25">
      <c r="A30" s="16">
        <f>IF(23&lt;=DAY(EOMONTH(DATE(Consolidado!$E$4,Consolidado!$B$4,1),0)),DATE(Consolidado!$E$4,Consolidado!$B$4,23),"")</f>
        <v>NaN</v>
      </c>
      <c r="B30" s="7" t="str">
        <f t="shared" si="0"/>
        <v>#NUM!</v>
      </c>
      <c r="C30" s="17"/>
      <c r="D30" s="17"/>
      <c r="E30" s="17"/>
      <c r="F30" s="17"/>
      <c r="G30" s="18">
        <f t="shared" si="1"/>
      </c>
      <c r="H30" s="7"/>
    </row>
    <row r="31" spans="1:8" x14ac:dyDescent="0.25">
      <c r="A31" s="16">
        <f>IF(24&lt;=DAY(EOMONTH(DATE(Consolidado!$E$4,Consolidado!$B$4,1),0)),DATE(Consolidado!$E$4,Consolidado!$B$4,24),"")</f>
        <v>NaN</v>
      </c>
      <c r="B31" s="7" t="str">
        <f t="shared" si="0"/>
        <v>#NUM!</v>
      </c>
      <c r="C31" s="17"/>
      <c r="D31" s="17"/>
      <c r="E31" s="17"/>
      <c r="F31" s="17"/>
      <c r="G31" s="18">
        <f t="shared" si="1"/>
      </c>
      <c r="H31" s="7"/>
    </row>
    <row r="32" spans="1:8" x14ac:dyDescent="0.25">
      <c r="A32" s="16">
        <f>IF(25&lt;=DAY(EOMONTH(DATE(Consolidado!$E$4,Consolidado!$B$4,1),0)),DATE(Consolidado!$E$4,Consolidado!$B$4,25),"")</f>
        <v>NaN</v>
      </c>
      <c r="B32" s="7" t="str">
        <f t="shared" si="0"/>
        <v>#NUM!</v>
      </c>
      <c r="C32" s="17"/>
      <c r="D32" s="17"/>
      <c r="E32" s="17"/>
      <c r="F32" s="17"/>
      <c r="G32" s="18">
        <f t="shared" si="1"/>
      </c>
      <c r="H32" s="7"/>
    </row>
    <row r="33" spans="1:8" x14ac:dyDescent="0.25">
      <c r="A33" s="16">
        <f>IF(26&lt;=DAY(EOMONTH(DATE(Consolidado!$E$4,Consolidado!$B$4,1),0)),DATE(Consolidado!$E$4,Consolidado!$B$4,26),"")</f>
        <v>NaN</v>
      </c>
      <c r="B33" s="7" t="str">
        <f t="shared" si="0"/>
        <v>#NUM!</v>
      </c>
      <c r="C33" s="17"/>
      <c r="D33" s="17"/>
      <c r="E33" s="17"/>
      <c r="F33" s="17"/>
      <c r="G33" s="18">
        <f t="shared" si="1"/>
      </c>
      <c r="H33" s="7"/>
    </row>
    <row r="34" spans="1:8" x14ac:dyDescent="0.25">
      <c r="A34" s="16">
        <f>IF(27&lt;=DAY(EOMONTH(DATE(Consolidado!$E$4,Consolidado!$B$4,1),0)),DATE(Consolidado!$E$4,Consolidado!$B$4,27),"")</f>
        <v>NaN</v>
      </c>
      <c r="B34" s="7" t="str">
        <f t="shared" si="0"/>
        <v>#NUM!</v>
      </c>
      <c r="C34" s="17"/>
      <c r="D34" s="17"/>
      <c r="E34" s="17"/>
      <c r="F34" s="17"/>
      <c r="G34" s="18">
        <f t="shared" si="1"/>
      </c>
      <c r="H34" s="7"/>
    </row>
    <row r="35" spans="1:8" x14ac:dyDescent="0.25">
      <c r="A35" s="16">
        <f>IF(28&lt;=DAY(EOMONTH(DATE(Consolidado!$E$4,Consolidado!$B$4,1),0)),DATE(Consolidado!$E$4,Consolidado!$B$4,28),"")</f>
        <v>NaN</v>
      </c>
      <c r="B35" s="7" t="str">
        <f t="shared" si="0"/>
        <v>#NUM!</v>
      </c>
      <c r="C35" s="17"/>
      <c r="D35" s="17"/>
      <c r="E35" s="17"/>
      <c r="F35" s="17"/>
      <c r="G35" s="18">
        <f t="shared" si="1"/>
      </c>
      <c r="H35" s="7"/>
    </row>
    <row r="36" spans="1:8" x14ac:dyDescent="0.25">
      <c r="A36" s="16">
        <f>IF(29&lt;=DAY(EOMONTH(DATE(Consolidado!$E$4,Consolidado!$B$4,1),0)),DATE(Consolidado!$E$4,Consolidado!$B$4,29),"")</f>
        <v>NaN</v>
      </c>
      <c r="B36" s="7" t="str">
        <f t="shared" si="0"/>
        <v>#NUM!</v>
      </c>
      <c r="C36" s="17"/>
      <c r="D36" s="17"/>
      <c r="E36" s="17"/>
      <c r="F36" s="17"/>
      <c r="G36" s="18">
        <f t="shared" si="1"/>
      </c>
      <c r="H36" s="7"/>
    </row>
    <row r="37" spans="1:8" x14ac:dyDescent="0.25">
      <c r="A37" s="16">
        <f>IF(30&lt;=DAY(EOMONTH(DATE(Consolidado!$E$4,Consolidado!$B$4,1),0)),DATE(Consolidado!$E$4,Consolidado!$B$4,30),"")</f>
        <v>NaN</v>
      </c>
      <c r="B37" s="7" t="str">
        <f t="shared" si="0"/>
        <v>#NUM!</v>
      </c>
      <c r="C37" s="17"/>
      <c r="D37" s="17"/>
      <c r="E37" s="17"/>
      <c r="F37" s="17"/>
      <c r="G37" s="18">
        <f t="shared" si="1"/>
      </c>
      <c r="H37" s="7"/>
    </row>
    <row r="38" spans="1:8" x14ac:dyDescent="0.25">
      <c r="A38" s="16">
        <f>IF(31&lt;=DAY(EOMONTH(DATE(Consolidado!$E$4,Consolidado!$B$4,1),0)),DATE(Consolidado!$E$4,Consolidado!$B$4,31),"")</f>
        <v>NaN</v>
      </c>
      <c r="B38" s="7" t="str">
        <f t="shared" si="0"/>
        <v>#NUM!</v>
      </c>
      <c r="C38" s="17"/>
      <c r="D38" s="17"/>
      <c r="E38" s="17"/>
      <c r="F38" s="17"/>
      <c r="G38" s="18">
        <f t="shared" si="1"/>
      </c>
      <c r="H38" s="7"/>
    </row>
    <row r="40" spans="1:7" x14ac:dyDescent="0.25">
      <c r="F40" s="19" t="s">
        <v>49</v>
      </c>
      <c r="G40" s="20">
        <f>SUM(G8:G38)</f>
      </c>
    </row>
    <row r="41" spans="1:7" x14ac:dyDescent="0.25">
      <c r="F41" s="21" t="s">
        <v>50</v>
      </c>
      <c r="G41" s="22">
        <f>G40*E5</f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Consolidado</vt:lpstr>
      <vt:lpstr>Lucas Moraes</vt:lpstr>
      <vt:lpstr>Bianca Franzon</vt:lpstr>
      <vt:lpstr>Guilherme Fagundes</vt:lpstr>
      <vt:lpstr>Joszef Barrionuevo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2026-10-20T12:55:02Z</dcterms:created>
  <dcterms:modified xsi:type="dcterms:W3CDTF">2026-10-20T12:55:02Z</dcterms:modified>
</cp:coreProperties>
</file>